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ing Comps" sheetId="1" state="visible" r:id="rId3"/>
    <sheet name="Implied Valu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<sst xmlns="http://schemas.openxmlformats.org/spreadsheetml/2006/main" count="70" uniqueCount="59">
  <si>
    <t xml:space="preserve">Comparable Company Analysis — Large-Cap US Banks / Global Investment Banks</t>
  </si>
  <si>
    <t xml:space="preserve">Market data snapshot as of 2026-07-02; see Data Sources tab for per-company citations</t>
  </si>
  <si>
    <t xml:space="preserve">Company</t>
  </si>
  <si>
    <t xml:space="preserve">Ticker</t>
  </si>
  <si>
    <t xml:space="preserve">Price</t>
  </si>
  <si>
    <t xml:space="preserve">Diluted Shares (mm)</t>
  </si>
  <si>
    <t xml:space="preserve">Market Cap ($mm)</t>
  </si>
  <si>
    <t xml:space="preserve">BVPS ($)</t>
  </si>
  <si>
    <t xml:space="preserve">P / B</t>
  </si>
  <si>
    <t xml:space="preserve">TTM EPS ($)</t>
  </si>
  <si>
    <t xml:space="preserve">P / E</t>
  </si>
  <si>
    <t xml:space="preserve">ROE (ttm/most recent)</t>
  </si>
  <si>
    <t xml:space="preserve">The Goldman Sachs Group, Inc.</t>
  </si>
  <si>
    <t xml:space="preserve">GS</t>
  </si>
  <si>
    <t xml:space="preserve">JPMorgan Chase &amp; Co.</t>
  </si>
  <si>
    <t xml:space="preserve">JPM</t>
  </si>
  <si>
    <t xml:space="preserve">n/d</t>
  </si>
  <si>
    <t xml:space="preserve">Morgan Stanley</t>
  </si>
  <si>
    <t xml:space="preserve">MS</t>
  </si>
  <si>
    <t xml:space="preserve">Bank of America Corp.</t>
  </si>
  <si>
    <t xml:space="preserve">BAC</t>
  </si>
  <si>
    <t xml:space="preserve">Citigroup Inc.</t>
  </si>
  <si>
    <t xml:space="preserve">C</t>
  </si>
  <si>
    <t xml:space="preserve">Peer mean</t>
  </si>
  <si>
    <t xml:space="preserve">Peer median</t>
  </si>
  <si>
    <t xml:space="preserve">Peer set: JPMorgan Chase, Morgan Stanley, Bank of America, Citigroup -- the standard large-cap US</t>
  </si>
  <si>
    <t xml:space="preserve">bank / global-markets peer group GS itself references in its own investor presentations (GS 2024</t>
  </si>
  <si>
    <t xml:space="preserve">Annual Report explicitly names MS, JPM, BAC, C as its primary total-shareholder-return peer set).</t>
  </si>
  <si>
    <t xml:space="preserve">'n/d' = not directly sourced for this snapshot; see Data Sources tab. P/E and P/B use TTM figures</t>
  </si>
  <si>
    <t xml:space="preserve">where available, which will differ modestly from single-fiscal-year (FY2025A) multiples due to</t>
  </si>
  <si>
    <t xml:space="preserve">quarter-mix effects -- treat all multiples here as directional, not decimal-precise.</t>
  </si>
  <si>
    <t xml:space="preserve">Implied GS Value per Share — Applying Peer Multiples to GS Financials</t>
  </si>
  <si>
    <t xml:space="preserve">GS Inputs</t>
  </si>
  <si>
    <t xml:space="preserve">GS Book value per share ($)</t>
  </si>
  <si>
    <t xml:space="preserve">GS TTM EPS ($)</t>
  </si>
  <si>
    <t xml:space="preserve">GS current share price ($)</t>
  </si>
  <si>
    <t xml:space="preserve">Peer Multiples Applied to GS</t>
  </si>
  <si>
    <t xml:space="preserve">Method</t>
  </si>
  <si>
    <t xml:space="preserve">Peer multiple</t>
  </si>
  <si>
    <t xml:space="preserve">Applied to GS</t>
  </si>
  <si>
    <t xml:space="preserve">Implied GS Price/Share ($)</t>
  </si>
  <si>
    <t xml:space="preserve">P/B, peer mean</t>
  </si>
  <si>
    <t xml:space="preserve">P/B, peer median</t>
  </si>
  <si>
    <t xml:space="preserve">P/E, peer mean</t>
  </si>
  <si>
    <t xml:space="preserve">P/E, peer median</t>
  </si>
  <si>
    <t xml:space="preserve">Blended average of 4 methods above</t>
  </si>
  <si>
    <t xml:space="preserve">Range: min - max of 4 methods</t>
  </si>
  <si>
    <t xml:space="preserve">Cross-Check vs. Current Price and DCF</t>
  </si>
  <si>
    <t xml:space="preserve">Comps-implied price (blended) vs. current price</t>
  </si>
  <si>
    <t xml:space="preserve">DCF Base Case implied price/share (from DCF workbook)</t>
  </si>
  <si>
    <t xml:space="preserve">  Source</t>
  </si>
  <si>
    <t xml:space="preserve">'DCF and Reverse DCF' workbook, DCF Valuation tab, Base Case</t>
  </si>
  <si>
    <t xml:space="preserve">Reading across methods: the comps-implied price uses where the MARKET currently prices GS's peer</t>
  </si>
  <si>
    <t xml:space="preserve">set (JPM, MS, BAC, C) and asks 'if GS traded at the same multiple as its peers, what would it be</t>
  </si>
  <si>
    <t xml:space="preserve">worth?' -- a relative-value lens. The DCF asks an absolute-value question: 'given this cash-flow</t>
  </si>
  <si>
    <t xml:space="preserve">path and discount rate, what is GS intrinsically worth?' When the two disagree meaningfully (as</t>
  </si>
  <si>
    <t xml:space="preserve">they do here), the gap is usually explained by (a) the market pricing GS's superior ROE/ROTE</t>
  </si>
  <si>
    <t xml:space="preserve">profile at a premium multiple to peers, and/or (b) the DCF's discount rate or terminal growth</t>
  </si>
  <si>
    <t xml:space="preserve">being conservative relative to what the market is willing to pay. Both readings belong in the memo.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</si>
</sst>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#,##0.0"/>
    <numFmt numFmtId="167" formatCode="\$#,##0;&quot;($&quot;#,##0\);\-"/>
    <numFmt numFmtId="168" formatCode="0.00\x;\(0.00&quot;x)&quot;;\-"/>
    <numFmt numFmtId="169" formatCode="0.0%;\(0.0%\);\-"/>
    <numFmt numFmtId="170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10" min="2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35.05" hidden="false" customHeight="fals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customFormat="false" ht="15" hidden="false" customHeight="false" outlineLevel="0" collapsed="false">
      <c r="A6" s="5" t="s">
        <v>12</v>
      </c>
      <c r="B6" s="6" t="s">
        <v>13</v>
      </c>
      <c r="C6" s="7" t="n">
        <v>1022.11</v>
      </c>
      <c r="D6" s="8" t="n">
        <v>295</v>
      </c>
      <c r="E6" s="9" t="n">
        <f aca="false">C6*D6</f>
        <v>301522.45</v>
      </c>
      <c r="F6" s="7" t="n">
        <v>357.6</v>
      </c>
      <c r="G6" s="10" t="n">
        <f aca="false">C6/F6</f>
        <v>2.85824944071588</v>
      </c>
      <c r="H6" s="7" t="n">
        <v>54.72</v>
      </c>
      <c r="I6" s="10" t="n">
        <f aca="false">C6/H6</f>
        <v>18.6789108187135</v>
      </c>
      <c r="J6" s="11" t="n">
        <v>0.15</v>
      </c>
    </row>
    <row r="7" customFormat="false" ht="15" hidden="false" customHeight="false" outlineLevel="0" collapsed="false">
      <c r="A7" s="12" t="s">
        <v>14</v>
      </c>
      <c r="B7" s="13" t="s">
        <v>15</v>
      </c>
      <c r="C7" s="14" t="n">
        <v>333.7</v>
      </c>
      <c r="D7" s="15" t="n">
        <v>2680</v>
      </c>
      <c r="E7" s="16" t="n">
        <f aca="false">C7*D7</f>
        <v>894316</v>
      </c>
      <c r="F7" s="17" t="s">
        <v>16</v>
      </c>
      <c r="G7" s="17" t="s">
        <v>16</v>
      </c>
      <c r="H7" s="14" t="n">
        <v>20.88</v>
      </c>
      <c r="I7" s="18" t="n">
        <f aca="false">C7/H7</f>
        <v>15.9818007662835</v>
      </c>
      <c r="J7" s="19" t="n">
        <v>0.1646</v>
      </c>
    </row>
    <row r="8" customFormat="false" ht="15" hidden="false" customHeight="false" outlineLevel="0" collapsed="false">
      <c r="A8" s="12" t="s">
        <v>17</v>
      </c>
      <c r="B8" s="13" t="s">
        <v>18</v>
      </c>
      <c r="C8" s="14" t="n">
        <v>212.68</v>
      </c>
      <c r="D8" s="15" t="n">
        <v>1320</v>
      </c>
      <c r="E8" s="16" t="n">
        <f aca="false">C8*D8</f>
        <v>280737.6</v>
      </c>
      <c r="F8" s="17" t="s">
        <v>16</v>
      </c>
      <c r="G8" s="17" t="s">
        <v>16</v>
      </c>
      <c r="H8" s="14" t="n">
        <v>12.69</v>
      </c>
      <c r="I8" s="18" t="n">
        <f aca="false">C8/H8</f>
        <v>16.7596532702916</v>
      </c>
      <c r="J8" s="17" t="s">
        <v>16</v>
      </c>
    </row>
    <row r="9" customFormat="false" ht="15" hidden="false" customHeight="false" outlineLevel="0" collapsed="false">
      <c r="A9" s="12" t="s">
        <v>19</v>
      </c>
      <c r="B9" s="13" t="s">
        <v>20</v>
      </c>
      <c r="C9" s="14" t="n">
        <v>55.16</v>
      </c>
      <c r="D9" s="15" t="n">
        <v>7096.6</v>
      </c>
      <c r="E9" s="16" t="n">
        <f aca="false">C9*D9</f>
        <v>391448.456</v>
      </c>
      <c r="F9" s="17" t="s">
        <v>16</v>
      </c>
      <c r="G9" s="17" t="s">
        <v>16</v>
      </c>
      <c r="H9" s="17" t="s">
        <v>16</v>
      </c>
      <c r="I9" s="17" t="s">
        <v>16</v>
      </c>
      <c r="J9" s="17" t="s">
        <v>16</v>
      </c>
    </row>
    <row r="10" customFormat="false" ht="15" hidden="false" customHeight="false" outlineLevel="0" collapsed="false">
      <c r="A10" s="12" t="s">
        <v>21</v>
      </c>
      <c r="B10" s="13" t="s">
        <v>22</v>
      </c>
      <c r="C10" s="14" t="n">
        <v>140</v>
      </c>
      <c r="D10" s="15" t="n">
        <v>1705.6</v>
      </c>
      <c r="E10" s="16" t="n">
        <f aca="false">C10*D10</f>
        <v>238784</v>
      </c>
      <c r="F10" s="14" t="n">
        <v>112.22</v>
      </c>
      <c r="G10" s="18" t="n">
        <f aca="false">C10/F10</f>
        <v>1.24754945642488</v>
      </c>
      <c r="H10" s="17" t="s">
        <v>16</v>
      </c>
      <c r="I10" s="17" t="s">
        <v>16</v>
      </c>
      <c r="J10" s="19" t="n">
        <v>0.0765</v>
      </c>
    </row>
    <row r="12" customFormat="false" ht="15" hidden="false" customHeight="false" outlineLevel="0" collapsed="false">
      <c r="A12" s="20" t="s">
        <v>23</v>
      </c>
      <c r="G12" s="21" t="n">
        <f aca="false">AVERAGE(G7:G10)</f>
        <v>1.24754945642488</v>
      </c>
      <c r="I12" s="21" t="n">
        <f aca="false">AVERAGE(I7:I10)</f>
        <v>16.3707270182875</v>
      </c>
      <c r="J12" s="22" t="n">
        <f aca="false">AVERAGE(J7:J10)</f>
        <v>0.12055</v>
      </c>
    </row>
    <row r="13" customFormat="false" ht="15" hidden="false" customHeight="false" outlineLevel="0" collapsed="false">
      <c r="A13" s="20" t="s">
        <v>24</v>
      </c>
      <c r="G13" s="21" t="n">
        <f aca="false">MEDIAN(G7:G10)</f>
        <v>1.24754945642488</v>
      </c>
      <c r="I13" s="21" t="n">
        <f aca="false">MEDIAN(I7:I10)</f>
        <v>16.3707270182875</v>
      </c>
      <c r="J13" s="22" t="n">
        <f aca="false">MEDIAN(J7:J10)</f>
        <v>0.12055</v>
      </c>
    </row>
    <row r="15" customFormat="false" ht="15" hidden="false" customHeight="false" outlineLevel="0" collapsed="false">
      <c r="A15" s="3" t="s">
        <v>25</v>
      </c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false" outlineLevel="0" collapsed="false">
      <c r="A16" s="3" t="s">
        <v>26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false" outlineLevel="0" collapsed="false">
      <c r="A17" s="3" t="s">
        <v>27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false" outlineLevel="0" collapsed="false">
      <c r="A18" s="3" t="s">
        <v>28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false" outlineLevel="0" collapsed="false">
      <c r="A19" s="3" t="s">
        <v>29</v>
      </c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false" outlineLevel="0" collapsed="false">
      <c r="A20" s="3" t="s">
        <v>30</v>
      </c>
      <c r="B20" s="3"/>
      <c r="C20" s="3"/>
      <c r="D20" s="3"/>
      <c r="E20" s="3"/>
      <c r="F20" s="3"/>
      <c r="G20" s="3"/>
      <c r="H20" s="3"/>
      <c r="I20" s="3"/>
      <c r="J20" s="3"/>
    </row>
  </sheetData>
  <mergeCells count="8">
    <mergeCell ref="A1:J1"/>
    <mergeCell ref="A3:J3"/>
    <mergeCell ref="A15:J15"/>
    <mergeCell ref="A16:J16"/>
    <mergeCell ref="A17:J17"/>
    <mergeCell ref="A18:J18"/>
    <mergeCell ref="A19:J19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</cols>
  <sheetData>
    <row r="1" customFormat="false" ht="27.75" hidden="false" customHeight="true" outlineLevel="0" collapsed="false">
      <c r="A1" s="2" t="s">
        <v>31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23" t="s">
        <v>32</v>
      </c>
      <c r="B3" s="23"/>
    </row>
    <row r="4" customFormat="false" ht="15" hidden="false" customHeight="false" outlineLevel="0" collapsed="false">
      <c r="A4" s="24" t="s">
        <v>33</v>
      </c>
      <c r="B4" s="25" t="n">
        <f aca="false">'Trading Comps'!F6</f>
        <v>357.6</v>
      </c>
    </row>
    <row r="5" customFormat="false" ht="15" hidden="false" customHeight="false" outlineLevel="0" collapsed="false">
      <c r="A5" s="24" t="s">
        <v>34</v>
      </c>
      <c r="B5" s="25" t="n">
        <f aca="false">'Trading Comps'!H6</f>
        <v>54.72</v>
      </c>
    </row>
    <row r="6" customFormat="false" ht="15" hidden="false" customHeight="false" outlineLevel="0" collapsed="false">
      <c r="A6" s="24" t="s">
        <v>35</v>
      </c>
      <c r="B6" s="25" t="n">
        <f aca="false">'Trading Comps'!C6</f>
        <v>1022.11</v>
      </c>
    </row>
    <row r="8" customFormat="false" ht="15" hidden="false" customHeight="false" outlineLevel="0" collapsed="false">
      <c r="A8" s="23" t="s">
        <v>36</v>
      </c>
      <c r="B8" s="23"/>
      <c r="C8" s="23"/>
      <c r="D8" s="23"/>
    </row>
    <row r="9" customFormat="false" ht="23.85" hidden="false" customHeight="false" outlineLevel="0" collapsed="false">
      <c r="A9" s="26" t="s">
        <v>37</v>
      </c>
      <c r="B9" s="26" t="s">
        <v>38</v>
      </c>
      <c r="C9" s="26" t="s">
        <v>39</v>
      </c>
      <c r="D9" s="26" t="s">
        <v>40</v>
      </c>
    </row>
    <row r="10" customFormat="false" ht="15" hidden="false" customHeight="false" outlineLevel="0" collapsed="false">
      <c r="A10" s="24" t="s">
        <v>41</v>
      </c>
      <c r="B10" s="27" t="n">
        <f aca="false">'Trading Comps'!G12</f>
        <v>1.24754945642488</v>
      </c>
      <c r="C10" s="28" t="n">
        <f aca="false">B4</f>
        <v>357.6</v>
      </c>
      <c r="D10" s="29" t="n">
        <f aca="false">B10*C10</f>
        <v>446.123685617537</v>
      </c>
    </row>
    <row r="11" customFormat="false" ht="15" hidden="false" customHeight="false" outlineLevel="0" collapsed="false">
      <c r="A11" s="24" t="s">
        <v>42</v>
      </c>
      <c r="B11" s="27" t="n">
        <f aca="false">'Trading Comps'!G13</f>
        <v>1.24754945642488</v>
      </c>
      <c r="C11" s="28" t="n">
        <f aca="false">B4</f>
        <v>357.6</v>
      </c>
      <c r="D11" s="29" t="n">
        <f aca="false">B11*C11</f>
        <v>446.123685617537</v>
      </c>
    </row>
    <row r="12" customFormat="false" ht="15" hidden="false" customHeight="false" outlineLevel="0" collapsed="false">
      <c r="A12" s="24" t="s">
        <v>43</v>
      </c>
      <c r="B12" s="27" t="n">
        <f aca="false">'Trading Comps'!I12</f>
        <v>16.3707270182875</v>
      </c>
      <c r="C12" s="28" t="n">
        <f aca="false">B5</f>
        <v>54.72</v>
      </c>
      <c r="D12" s="29" t="n">
        <f aca="false">B12*C12</f>
        <v>895.806182440695</v>
      </c>
    </row>
    <row r="13" customFormat="false" ht="15" hidden="false" customHeight="false" outlineLevel="0" collapsed="false">
      <c r="A13" s="24" t="s">
        <v>44</v>
      </c>
      <c r="B13" s="27" t="n">
        <f aca="false">'Trading Comps'!I13</f>
        <v>16.3707270182875</v>
      </c>
      <c r="C13" s="28" t="n">
        <f aca="false">B5</f>
        <v>54.72</v>
      </c>
      <c r="D13" s="29" t="n">
        <f aca="false">B13*C13</f>
        <v>895.806182440695</v>
      </c>
    </row>
    <row r="15" customFormat="false" ht="15" hidden="false" customHeight="false" outlineLevel="0" collapsed="false">
      <c r="A15" s="20" t="s">
        <v>45</v>
      </c>
      <c r="D15" s="30" t="n">
        <f aca="false">AVERAGE(D10:D13)</f>
        <v>670.964934029116</v>
      </c>
    </row>
    <row r="16" customFormat="false" ht="15" hidden="false" customHeight="false" outlineLevel="0" collapsed="false">
      <c r="A16" s="24" t="s">
        <v>46</v>
      </c>
      <c r="D16" s="31" t="str">
        <f aca="false">MIN(D10:D13)&amp;" - $"&amp;TEXT(MAX(D10:D13),"0.00")</f>
        <v>446.123685617537 - $895.81</v>
      </c>
    </row>
    <row r="18" customFormat="false" ht="15" hidden="false" customHeight="false" outlineLevel="0" collapsed="false">
      <c r="A18" s="23" t="s">
        <v>47</v>
      </c>
      <c r="B18" s="23"/>
      <c r="C18" s="23"/>
      <c r="D18" s="23"/>
    </row>
    <row r="19" customFormat="false" ht="15" hidden="false" customHeight="false" outlineLevel="0" collapsed="false">
      <c r="A19" s="24" t="s">
        <v>48</v>
      </c>
      <c r="B19" s="32" t="n">
        <f aca="false">D15/B6-1</f>
        <v>-0.343549193306869</v>
      </c>
    </row>
    <row r="20" customFormat="false" ht="15" hidden="false" customHeight="false" outlineLevel="0" collapsed="false">
      <c r="A20" s="24" t="s">
        <v>49</v>
      </c>
      <c r="B20" s="14" t="n">
        <v>631.24</v>
      </c>
    </row>
    <row r="21" customFormat="false" ht="15" hidden="false" customHeight="false" outlineLevel="0" collapsed="false">
      <c r="A21" s="33" t="s">
        <v>50</v>
      </c>
      <c r="B21" s="33" t="s">
        <v>51</v>
      </c>
    </row>
    <row r="23" customFormat="false" ht="15" hidden="false" customHeight="false" outlineLevel="0" collapsed="false">
      <c r="A23" s="3" t="s">
        <v>52</v>
      </c>
      <c r="B23" s="3"/>
      <c r="C23" s="3"/>
      <c r="D23" s="3"/>
      <c r="E23" s="3"/>
      <c r="F23" s="3"/>
    </row>
    <row r="24" customFormat="false" ht="15" hidden="false" customHeight="false" outlineLevel="0" collapsed="false">
      <c r="A24" s="3" t="s">
        <v>53</v>
      </c>
      <c r="B24" s="3"/>
      <c r="C24" s="3"/>
      <c r="D24" s="3"/>
      <c r="E24" s="3"/>
      <c r="F24" s="3"/>
    </row>
    <row r="25" customFormat="false" ht="15" hidden="false" customHeight="false" outlineLevel="0" collapsed="false">
      <c r="A25" s="3" t="s">
        <v>54</v>
      </c>
      <c r="B25" s="3"/>
      <c r="C25" s="3"/>
      <c r="D25" s="3"/>
      <c r="E25" s="3"/>
      <c r="F25" s="3"/>
    </row>
    <row r="26" customFormat="false" ht="15" hidden="false" customHeight="false" outlineLevel="0" collapsed="false">
      <c r="A26" s="3" t="s">
        <v>55</v>
      </c>
      <c r="B26" s="3"/>
      <c r="C26" s="3"/>
      <c r="D26" s="3"/>
      <c r="E26" s="3"/>
      <c r="F26" s="3"/>
    </row>
    <row r="27" customFormat="false" ht="15" hidden="false" customHeight="false" outlineLevel="0" collapsed="false">
      <c r="A27" s="3" t="s">
        <v>56</v>
      </c>
      <c r="B27" s="3"/>
      <c r="C27" s="3"/>
      <c r="D27" s="3"/>
      <c r="E27" s="3"/>
      <c r="F27" s="3"/>
    </row>
    <row r="28" customFormat="false" ht="15" hidden="false" customHeight="false" outlineLevel="0" collapsed="false">
      <c r="A28" s="3" t="s">
        <v>57</v>
      </c>
      <c r="B28" s="3"/>
      <c r="C28" s="3"/>
      <c r="D28" s="3"/>
      <c r="E28" s="3"/>
      <c r="F28" s="3"/>
    </row>
    <row r="29" customFormat="false" ht="15" hidden="false" customHeight="false" outlineLevel="0" collapsed="false">
      <c r="A29" s="3" t="s">
        <v>58</v>
      </c>
      <c r="B29" s="3"/>
      <c r="C29" s="3"/>
      <c r="D29" s="3"/>
      <c r="E29" s="3"/>
      <c r="F29" s="3"/>
    </row>
  </sheetData>
  <mergeCells count="11">
    <mergeCell ref="A1:F1"/>
    <mergeCell ref="A3:B3"/>
    <mergeCell ref="A8:D8"/>
    <mergeCell ref="A18:D18"/>
    <mergeCell ref="A23:F23"/>
    <mergeCell ref="A24:F24"/>
    <mergeCell ref="A25:F25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2026-07-03T20:30:18Z</dcterms:created>
  <dc:creator>openpyxl</dc:creator>
  <dc:description/>
  <dc:language>en-US</dc:language>
  <cp:lastModifiedBy/>
  <dcterms:modified xsi:type="dcterms:W3CDTF">2026-07-03T20:30:54Z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