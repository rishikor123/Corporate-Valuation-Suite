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FCFE Build" sheetId="2" state="visible" r:id="rId4"/>
    <sheet name="DCF Valuation" sheetId="3" state="visible" r:id="rId5"/>
    <sheet name="Reverse DCF" sheetId="4" state="visible" r:id="rId6"/>
    <sheet name="Sensitivity Tables" sheetId="5" state="visible" r:id="rId7"/>
    <sheet name="Scenario Valuation" sheetId="6" state="visible" r:id="rId8"/>
    <sheet name="Data 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<sst xmlns="http://schemas.openxmlformats.org/spreadsheetml/2006/main" count="221" uniqueCount="154">
  <si>
    <t xml:space="preserve">DCF Model Assumptions — Bear / Base / Bull Drivers (self-contained)</t>
  </si>
  <si>
    <t xml:space="preserve">ACTIVE SCENARIO (type Bear / Base / Bull):</t>
  </si>
  <si>
    <t xml:space="preserve">Base</t>
  </si>
  <si>
    <t xml:space="preserve">Bear Case drivers</t>
  </si>
  <si>
    <t xml:space="preserve">Fiscal Year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</si>
  <si>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</si>
  <si>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</si>
  <si>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</si>
  <si>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</si>
  <si>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</si>
  <si>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Net revenue growth %</t>
  </si>
  <si>
    <t xml:space="preserve">Efficiency ratio (Opex / Revenue)</t>
  </si>
  <si>
    <t xml:space="preserve">Effective tax rate</t>
  </si>
  <si>
    <t xml:space="preserve">Total payout ratio</t>
  </si>
  <si>
    <t xml:space="preserve">Balance sheet / RWA growth (required equity retention)</t>
  </si>
  <si>
    <t xml:space="preserve">Terminal growth rate</t>
  </si>
  <si>
    <t xml:space="preserve">Cost of equity (CAPM)</t>
  </si>
  <si>
    <t xml:space="preserve">Base Case drivers</t>
  </si>
  <si>
    <t xml:space="preserve">Bull Case drivers</t>
  </si>
  <si>
    <t xml:space="preserve">CAPM Cost of Equity Build (reference)</t>
  </si>
  <si>
    <t xml:space="preserve">Risk-free rate (10Y UST, Jul 2 2026)</t>
  </si>
  <si>
    <t xml:space="preserve">Beta (5Y monthly, approx.)</t>
  </si>
  <si>
    <t xml:space="preserve">Equity risk premium (long-run US)</t>
  </si>
  <si>
    <t xml:space="preserve">Implied cost of equity (Rf + Beta x ERP)</t>
  </si>
  <si>
    <t xml:space="preserve">(Base Case Ke input above set close to this CAPM output; Bear/Bull widen</t>
  </si>
  <si>
    <t xml:space="preserve">the discount rate to reflect higher/lower perceived risk in each state.)</t>
  </si>
  <si>
    <t xml:space="preserve">ACTIVE DRIVERS (auto-selected from B3)</t>
  </si>
  <si>
    <t xml:space="preserve">Efficiency ratio</t>
  </si>
  <si>
    <t xml:space="preserve">Balance sheet / RWA growth</t>
  </si>
  <si>
    <t xml:space="preserve">Preferred dividends, held flat ($mm/yr)</t>
  </si>
  <si>
    <t xml:space="preserve">Market data (for implied price comparison)</t>
  </si>
  <si>
    <t xml:space="preserve">Current share price</t>
  </si>
  <si>
    <t xml:space="preserve">Current diluted shares outstanding (mm)</t>
  </si>
  <si>
    <t xml:space="preserve">Implied current market equity value (Price x Shares), $mm</t>
  </si>
  <si>
    <t xml:space="preserve">2025A ending common equity ($mm) [BVPS x shares]</t>
  </si>
  <si>
    <t xml:space="preserve">2025A net revenues ($mm)</t>
  </si>
  <si>
    <t xml:space="preserve">Free Cash Flow to Equity Build (Bank FCFE method), FY2026E-FY2030E</t>
  </si>
  <si>
    <t xml:space="preserve">($ in millions; active scenario per Assumptions!B3)</t>
  </si>
  <si>
    <t xml:space="preserve">Net revenues</t>
  </si>
  <si>
    <t xml:space="preserve">Operating expenses</t>
  </si>
  <si>
    <t xml:space="preserve">Pre-tax earnings</t>
  </si>
  <si>
    <t xml:space="preserve">Provision for taxes</t>
  </si>
  <si>
    <t xml:space="preserve">Net earnings</t>
  </si>
  <si>
    <t xml:space="preserve">Less: preferred dividends</t>
  </si>
  <si>
    <t xml:space="preserve">Net earnings applicable to common (NIC)</t>
  </si>
  <si>
    <t xml:space="preserve">Beginning common equity</t>
  </si>
  <si>
    <t xml:space="preserve">Required equity retention (BS/RWA growth x Beg. equity)</t>
  </si>
  <si>
    <t xml:space="preserve">Free Cash Flow to Equity (FCFE = NIC - Required retention)</t>
  </si>
  <si>
    <t xml:space="preserve">Ending common equity (Beg. equity + Required retention)</t>
  </si>
  <si>
    <t xml:space="preserve">Memo: implied retention ratio (Required retention / NIC)</t>
  </si>
  <si>
    <t xml:space="preserve">Methodology (bank FCFE, per Damodaran's financial-services DCF framework): a bank cannot reinvest</t>
  </si>
  <si>
    <t xml:space="preserve">cash flow the way an industrial firm reinvests in capex/working capital; instead, capital is 'used'</t>
  </si>
  <si>
    <t xml:space="preserve">by growing risk-weighted assets, which requires retaining common equity to hold leverage/CET1 ratios</t>
  </si>
  <si>
    <t xml:space="preserve">roughly constant. FCFE = Net income to common - (required capital retention to fund that growth) =</t>
  </si>
  <si>
    <t xml:space="preserve">the maximum a bank can safely return to shareholders via dividends + buybacks without eroding capital.</t>
  </si>
  <si>
    <t xml:space="preserve">DCF Valuation — Present Value of FCFE + Terminal Value</t>
  </si>
  <si>
    <t xml:space="preserve">($ in millions, except per share; active scenario per Assumptions!B3)</t>
  </si>
  <si>
    <t xml:space="preserve">Discount period (t)</t>
  </si>
  <si>
    <t xml:space="preserve">FCFE [linked from FCFE Build]</t>
  </si>
  <si>
    <t xml:space="preserve">Discount factor @ active Ke</t>
  </si>
  <si>
    <t xml:space="preserve">PV of FCFE</t>
  </si>
  <si>
    <t xml:space="preserve">Valuation Summary</t>
  </si>
  <si>
    <t xml:space="preserve">Sum of PV of explicit-period FCFE (2026E-2030E)</t>
  </si>
  <si>
    <t xml:space="preserve">Terminal value at end of 2030E (Gordon growth)</t>
  </si>
  <si>
    <t xml:space="preserve">PV of terminal value</t>
  </si>
  <si>
    <t xml:space="preserve">  Terminal value as % of total equity value</t>
  </si>
  <si>
    <t xml:space="preserve">Implied Equity Value ($mm)</t>
  </si>
  <si>
    <t xml:space="preserve">/ Current diluted shares outstanding (mm)</t>
  </si>
  <si>
    <t xml:space="preserve">Implied Value per Share ($)</t>
  </si>
  <si>
    <t xml:space="preserve">Current share price ($)</t>
  </si>
  <si>
    <t xml:space="preserve">Implied upside / (downside) vs. current price</t>
  </si>
  <si>
    <t xml:space="preserve">Read this alongside the Reverse DCF tab: this sheet asks 'what is GS worth given my assumptions?'</t>
  </si>
  <si>
    <t xml:space="preserve">The Reverse DCF tab asks the opposite and arguably more useful question for a stock trading near</t>
  </si>
  <si>
    <t xml:space="preserve">highs: 'what does the CURRENT price already assume, and is that assumption reasonable?'</t>
  </si>
  <si>
    <t xml:space="preserve">Reverse DCF — What Growth Does the Current Price Already Assume?</t>
  </si>
  <si>
    <t xml:space="preserve">Single-stage (Gordon growth) closed-form solve</t>
  </si>
  <si>
    <t xml:space="preserve">Implied current market equity value ($mm)</t>
  </si>
  <si>
    <t xml:space="preserve">Next-year FCFE, 2026E ($mm) [linked, base case]</t>
  </si>
  <si>
    <t xml:space="preserve">Cost of equity, Ke (active scenario)</t>
  </si>
  <si>
    <t xml:space="preserve">Implied FCFE yield (FCFE1 / Market equity value)</t>
  </si>
  <si>
    <t xml:space="preserve">Implied perpetual FCFE growth rate priced in, g* = Ke - Yield</t>
  </si>
  <si>
    <t xml:space="preserve">Formula: Single-stage Gordon Growth says Price = FCFE1 / (Ke - g). Solving for g given the current</t>
  </si>
  <si>
    <t xml:space="preserve">price is algebra: g* = Ke - FCFE1/Price. This is the market-implied 'what has to be true forever'</t>
  </si>
  <si>
    <t xml:space="preserve">growth rate. Compare it to (a) GS's own 5-yr revenue CAGR history and (b) nominal US GDP growth</t>
  </si>
  <si>
    <t xml:space="preserve">(~4-5%) as sanity checks -- a g* persistently above long-run GDP growth is a classic red flag that</t>
  </si>
  <si>
    <t xml:space="preserve">a stock is priced for perfection.</t>
  </si>
  <si>
    <t xml:space="preserve">Implied growth rate g*, sensitized across cost-of-equity assumptions</t>
  </si>
  <si>
    <t xml:space="preserve">Cost of equity (Ke)</t>
  </si>
  <si>
    <t xml:space="preserve">Implied g* (this scenario FCFE1, this Ke)</t>
  </si>
  <si>
    <t xml:space="preserve">Sanity check: translating g* into required ROE (sustainable growth identity)</t>
  </si>
  <si>
    <t xml:space="preserve">Sustainable growth identity: g = ROE x Retention ratio</t>
  </si>
  <si>
    <t xml:space="preserve">Assumed retention ratio (1 - payout), Base Case</t>
  </si>
  <si>
    <t xml:space="preserve">Required ROE to sustain g* at this retention ratio (g* / retention)</t>
  </si>
  <si>
    <t xml:space="preserve">For reference: GS FY2025A ROE was 15.0%; FY2021 cyclical-peak ROE was 23.0%</t>
  </si>
  <si>
    <t xml:space="preserve">Reading the result: if the required ROE above is comfortably inside GS's own historical range</t>
  </si>
  <si>
    <t xml:space="preserve">(7.5% trough in 2023, 23.0% cyclical peak in 2021, 15.0% most recent), the current price is pricing</t>
  </si>
  <si>
    <t xml:space="preserve">in a plausible-but-optimistic continuation of the current up-cycle. If it is ABOVE the 2021 peak,</t>
  </si>
  <si>
    <t xml:space="preserve">the market is pricing in a structurally higher through-cycle ROE than GS has ever historically</t>
  </si>
  <si>
    <t xml:space="preserve">sustained -- a meaningfully more aggressive assumption than the Bull Case in this model.</t>
  </si>
  <si>
    <t xml:space="preserve">Sensitivity Analysis — Implied Value per Share ($)</t>
  </si>
  <si>
    <t xml:space="preserve">2-Way: Implied share price by Cost of Equity (rows) x Terminal Growth Rate (columns)</t>
  </si>
  <si>
    <t xml:space="preserve">Ke \ g</t>
  </si>
  <si>
    <t xml:space="preserve">Current share price for reference: $1,022.11 (highlight cells above/below this manually or eyeball vs. green/red shading)</t>
  </si>
  <si>
    <t xml:space="preserve">One-Way Sensitivities (Base Case, holding other drivers constant)</t>
  </si>
  <si>
    <t xml:space="preserve">Terminal growth rate (Ke held at 10.8% base case)</t>
  </si>
  <si>
    <t xml:space="preserve">Implied value / share ($)</t>
  </si>
  <si>
    <t xml:space="preserve">Cost of equity (terminal growth held at 3.0% base case)</t>
  </si>
  <si>
    <t xml:space="preserve">Reading the grid: at the Base Case (Ke=10.8%, g=3.0%), implied value/share sits well below the</t>
  </si>
  <si>
    <t xml:space="preserve">current market price -- consistent with the Reverse DCF finding that the market is pricing in a</t>
  </si>
  <si>
    <t xml:space="preserve">higher sustainable growth/ROE than this model's Base Case assumes. Use the grid to see how much</t>
  </si>
  <si>
    <t xml:space="preserve">Ke would need to compress (or g rise) to justify the current price -- that combination is the real</t>
  </si>
  <si>
    <t xml:space="preserve">underwriting question for anyone buying GS at today's level.</t>
  </si>
  <si>
    <t xml:space="preserve">Bull / Base / Bear — Independent DCF Valuation Comparison</t>
  </si>
  <si>
    <t xml:space="preserve">Bear Case</t>
  </si>
  <si>
    <t xml:space="preserve">Base Case</t>
  </si>
  <si>
    <t xml:space="preserve">Bull Case</t>
  </si>
  <si>
    <t xml:space="preserve">Net revenues ($mm)</t>
  </si>
  <si>
    <t xml:space="preserve">Net earnings to common ($mm)</t>
  </si>
  <si>
    <t xml:space="preserve">Beginning common equity ($mm)</t>
  </si>
  <si>
    <t xml:space="preserve">Required equity retention ($mm)</t>
  </si>
  <si>
    <t xml:space="preserve">FCFE ($mm)</t>
  </si>
  <si>
    <t xml:space="preserve">Discount factor</t>
  </si>
  <si>
    <t xml:space="preserve">PV of FCFE ($mm)</t>
  </si>
  <si>
    <t xml:space="preserve">Valuation Output</t>
  </si>
  <si>
    <t xml:space="preserve">Scenario</t>
  </si>
  <si>
    <t xml:space="preserve">Sum PV explicit FCFE ($mm)</t>
  </si>
  <si>
    <t xml:space="preserve">Terminal value, undiscounted ($mm)</t>
  </si>
  <si>
    <t xml:space="preserve">PV of terminal value ($mm)</t>
  </si>
  <si>
    <t xml:space="preserve">Implied Value / Share ($)</t>
  </si>
  <si>
    <t xml:space="preserve">vs. Current Price</t>
  </si>
  <si>
    <t xml:space="preserve">Bear</t>
  </si>
  <si>
    <t xml:space="preserve">Bull</t>
  </si>
  <si>
    <t xml:space="preserve">Each scenario uses its own revenue growth, efficiency ratio, tax rate, balance-sheet growth,</t>
  </si>
  <si>
    <t xml:space="preserve">terminal growth AND cost of equity (wider discount rate in Bear to reflect higher perceived risk,</t>
  </si>
  <si>
    <t xml:space="preserve">tighter in Bull) -- consistent with how sell-side scenario analysis typically treats risk, not just</t>
  </si>
  <si>
    <t xml:space="preserve">growth. This is a fully independent recompute per scenario, not a simple +/- shock to the Base Case.</t>
  </si>
  <si>
    <t xml:space="preserve">Data Sources &amp; Key Methodology Notes</t>
  </si>
  <si>
    <t xml:space="preserve">Historical financials (2025A base year)</t>
  </si>
  <si>
    <t xml:space="preserve">GS FY2025 10-K / 4Q25 Earnings Release, Jan 15 2026, SEC EDGAR</t>
  </si>
  <si>
    <t xml:space="preserve">Current share price, shares outstanding</t>
  </si>
  <si>
    <t xml:space="preserve">Robinhood + Google Finance GS:NYSE snapshot, ~Jul 2, 2026</t>
  </si>
  <si>
    <t xml:space="preserve">10Y Treasury / risk-free rate</t>
  </si>
  <si>
    <t xml:space="preserve">Trading Economics / MacroMicro, Jul 2, 2026 (4.48%)</t>
  </si>
  <si>
    <t xml:space="preserve">Beta</t>
  </si>
  <si>
    <t xml:space="preserve">Google Finance, ~Jul 2026 (1.30, 5Y monthly approx.)</t>
  </si>
  <si>
    <t xml:space="preserve">Equity risk premium</t>
  </si>
  <si>
    <t xml:space="preserve">Standard long-run US ERP assumption (5.0%), Damodaran-style convention</t>
  </si>
  <si>
    <t xml:space="preserve">Bear/Base/Bull driver assumptions</t>
  </si>
  <si>
    <t xml:space="preserve">Analyst-constructed for this project, calibrated to GS 2021-2025 historical range (see Historical Financial Analysis workbook) and current sell-side consensus growth/margin ranges for large-cap US banks; NOT sourced from a specific bank research report</t>
  </si>
  <si>
    <t xml:space="preserve">FCFE / bank DCF methodology</t>
  </si>
  <si>
    <t xml:space="preserve">Aswath Damodaran's financial-services DCF framework (FCFE = Net income to common - required equity retention to fund balance-sheet/RWA growth); see damodaran.com 'Valuing Financial Service Firms'</t>
  </si>
  <si>
    <t xml:space="preserve">Reverse DCF methodology</t>
  </si>
  <si>
    <t xml:space="preserve">Single-stage Gordon Growth algebraic inversion (g* = Ke - FCFE1/Price); standard reverse-DCF technique used in equity research</t>
  </si>
  <si>
    <t xml:space="preserve">DISCLAIMER: Portfolio / educational project, not investment research or advice. Verify all inputs against primary sources before relying on this model for any real decision.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</si>
</sst>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;\(0.0%\);\-"/>
    <numFmt numFmtId="166" formatCode="0.00%;\(0.00%\);\-"/>
    <numFmt numFmtId="167" formatCode="0.00"/>
    <numFmt numFmtId="168" formatCode="\$#,##0;&quot;($&quot;#,##0\);\-"/>
    <numFmt numFmtId="169" formatCode="\$#,##0.00;&quot;($&quot;#,##0.00\);\-"/>
    <numFmt numFmtId="170" formatCode="#,##0.0"/>
    <numFmt numFmtId="171" formatCode="0"/>
    <numFmt numFmtId="172" formatCode="0.000"/>
    <numFmt numFmtId="173" formatCode="0.0%"/>
    <numFmt numFmtId="174" formatCode="\$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6E0B4"/>
      </patternFill>
    </fill>
    <fill>
      <patternFill patternType="solid">
        <fgColor rgb="FFFFF2CC"/>
        <bgColor rgb="FFFFFFFF"/>
      </patternFill>
    </fill>
    <fill>
      <patternFill patternType="solid">
        <fgColor rgb="FF808080"/>
        <bgColor rgb="FF969696"/>
      </patternFill>
    </fill>
    <fill>
      <patternFill patternType="solid">
        <fgColor rgb="FFF8CBAD"/>
        <bgColor rgb="FFFFF2CC"/>
      </patternFill>
    </fill>
    <fill>
      <patternFill patternType="solid">
        <fgColor rgb="FFC6E0B4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3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7" min="3" style="1" width="11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</v>
      </c>
      <c r="B3" s="4" t="s">
        <v>2</v>
      </c>
    </row>
    <row r="5" customFormat="false" ht="15" hidden="false" customHeight="true" outlineLevel="0" collapsed="false">
      <c r="A5" s="5" t="s">
        <v>3</v>
      </c>
      <c r="B5" s="5"/>
      <c r="C5" s="5"/>
      <c r="D5" s="5"/>
      <c r="E5" s="5"/>
      <c r="F5" s="5"/>
    </row>
    <row r="6" customFormat="false" ht="1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 customFormat="false" ht="15" hidden="false" customHeight="true" outlineLevel="0" collapsed="false">
      <c r="A7" s="7" t="s">
        <v>10</v>
      </c>
      <c r="B7" s="8" t="n">
        <v>-0.03</v>
      </c>
      <c r="C7" s="8" t="n">
        <v>0.01</v>
      </c>
      <c r="D7" s="8" t="n">
        <v>0.02</v>
      </c>
      <c r="E7" s="8" t="n">
        <v>0.02</v>
      </c>
      <c r="F7" s="8" t="n">
        <v>0.02</v>
      </c>
    </row>
    <row r="8" customFormat="false" ht="15" hidden="false" customHeight="true" outlineLevel="0" collapsed="false">
      <c r="A8" s="7" t="s">
        <v>11</v>
      </c>
      <c r="B8" s="8" t="n">
        <v>0.68</v>
      </c>
      <c r="C8" s="8" t="n">
        <v>0.67</v>
      </c>
      <c r="D8" s="8" t="n">
        <v>0.66</v>
      </c>
      <c r="E8" s="8" t="n">
        <v>0.66</v>
      </c>
      <c r="F8" s="8" t="n">
        <v>0.66</v>
      </c>
    </row>
    <row r="9" customFormat="false" ht="15" hidden="false" customHeight="true" outlineLevel="0" collapsed="false">
      <c r="A9" s="7" t="s">
        <v>12</v>
      </c>
      <c r="B9" s="8" t="n">
        <v>0.23</v>
      </c>
    </row>
    <row r="10" customFormat="false" ht="15" hidden="false" customHeight="true" outlineLevel="0" collapsed="false">
      <c r="A10" s="7" t="s">
        <v>13</v>
      </c>
      <c r="B10" s="8" t="n">
        <v>0.55</v>
      </c>
    </row>
    <row r="11" customFormat="false" ht="15" hidden="false" customHeight="true" outlineLevel="0" collapsed="false">
      <c r="A11" s="7" t="s">
        <v>14</v>
      </c>
      <c r="B11" s="8" t="n">
        <v>0.02</v>
      </c>
    </row>
    <row r="12" customFormat="false" ht="15" hidden="false" customHeight="true" outlineLevel="0" collapsed="false">
      <c r="A12" s="7" t="s">
        <v>15</v>
      </c>
      <c r="B12" s="9" t="n">
        <v>0.02</v>
      </c>
    </row>
    <row r="13" customFormat="false" ht="15" hidden="false" customHeight="true" outlineLevel="0" collapsed="false">
      <c r="A13" s="7" t="s">
        <v>16</v>
      </c>
      <c r="B13" s="9" t="n">
        <v>0.115</v>
      </c>
    </row>
    <row r="15" customFormat="false" ht="15" hidden="false" customHeight="true" outlineLevel="0" collapsed="false">
      <c r="A15" s="5" t="s">
        <v>17</v>
      </c>
      <c r="B15" s="5"/>
      <c r="C15" s="5"/>
      <c r="D15" s="5"/>
      <c r="E15" s="5"/>
      <c r="F15" s="5"/>
    </row>
    <row r="16" customFormat="false" ht="15" hidden="false" customHeight="true" outlineLevel="0" collapsed="false">
      <c r="A16" s="6" t="s">
        <v>4</v>
      </c>
      <c r="B16" s="6" t="s">
        <v>5</v>
      </c>
      <c r="C16" s="6" t="s">
        <v>6</v>
      </c>
      <c r="D16" s="6" t="s">
        <v>7</v>
      </c>
      <c r="E16" s="6" t="s">
        <v>8</v>
      </c>
      <c r="F16" s="6" t="s">
        <v>9</v>
      </c>
    </row>
    <row r="17" customFormat="false" ht="15" hidden="false" customHeight="true" outlineLevel="0" collapsed="false">
      <c r="A17" s="7" t="s">
        <v>10</v>
      </c>
      <c r="B17" s="8" t="n">
        <v>0.06</v>
      </c>
      <c r="C17" s="8" t="n">
        <v>0.05</v>
      </c>
      <c r="D17" s="8" t="n">
        <v>0.05</v>
      </c>
      <c r="E17" s="8" t="n">
        <v>0.045</v>
      </c>
      <c r="F17" s="8" t="n">
        <v>0.045</v>
      </c>
    </row>
    <row r="18" customFormat="false" ht="15" hidden="false" customHeight="true" outlineLevel="0" collapsed="false">
      <c r="A18" s="7" t="s">
        <v>11</v>
      </c>
      <c r="B18" s="8" t="n">
        <v>0.63</v>
      </c>
      <c r="C18" s="8" t="n">
        <v>0.62</v>
      </c>
      <c r="D18" s="8" t="n">
        <v>0.615</v>
      </c>
      <c r="E18" s="8" t="n">
        <v>0.61</v>
      </c>
      <c r="F18" s="8" t="n">
        <v>0.61</v>
      </c>
    </row>
    <row r="19" customFormat="false" ht="15" hidden="false" customHeight="true" outlineLevel="0" collapsed="false">
      <c r="A19" s="7" t="s">
        <v>12</v>
      </c>
      <c r="B19" s="8" t="n">
        <v>0.22</v>
      </c>
    </row>
    <row r="20" customFormat="false" ht="15" hidden="false" customHeight="true" outlineLevel="0" collapsed="false">
      <c r="A20" s="7" t="s">
        <v>13</v>
      </c>
      <c r="B20" s="8" t="n">
        <v>0.65</v>
      </c>
    </row>
    <row r="21" customFormat="false" ht="15" hidden="false" customHeight="true" outlineLevel="0" collapsed="false">
      <c r="A21" s="7" t="s">
        <v>14</v>
      </c>
      <c r="B21" s="8" t="n">
        <v>0.04</v>
      </c>
    </row>
    <row r="22" customFormat="false" ht="15" hidden="false" customHeight="true" outlineLevel="0" collapsed="false">
      <c r="A22" s="7" t="s">
        <v>15</v>
      </c>
      <c r="B22" s="9" t="n">
        <v>0.03</v>
      </c>
    </row>
    <row r="23" customFormat="false" ht="15" hidden="false" customHeight="true" outlineLevel="0" collapsed="false">
      <c r="A23" s="7" t="s">
        <v>16</v>
      </c>
      <c r="B23" s="9" t="n">
        <v>0.108</v>
      </c>
    </row>
    <row r="25" customFormat="false" ht="15" hidden="false" customHeight="true" outlineLevel="0" collapsed="false">
      <c r="A25" s="5" t="s">
        <v>18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6" t="s">
        <v>4</v>
      </c>
      <c r="B26" s="6" t="s">
        <v>5</v>
      </c>
      <c r="C26" s="6" t="s">
        <v>6</v>
      </c>
      <c r="D26" s="6" t="s">
        <v>7</v>
      </c>
      <c r="E26" s="6" t="s">
        <v>8</v>
      </c>
      <c r="F26" s="6" t="s">
        <v>9</v>
      </c>
    </row>
    <row r="27" customFormat="false" ht="15" hidden="false" customHeight="true" outlineLevel="0" collapsed="false">
      <c r="A27" s="7" t="s">
        <v>10</v>
      </c>
      <c r="B27" s="8" t="n">
        <v>0.11</v>
      </c>
      <c r="C27" s="8" t="n">
        <v>0.09</v>
      </c>
      <c r="D27" s="8" t="n">
        <v>0.08</v>
      </c>
      <c r="E27" s="8" t="n">
        <v>0.07</v>
      </c>
      <c r="F27" s="8" t="n">
        <v>0.065</v>
      </c>
    </row>
    <row r="28" customFormat="false" ht="15" hidden="false" customHeight="true" outlineLevel="0" collapsed="false">
      <c r="A28" s="7" t="s">
        <v>11</v>
      </c>
      <c r="B28" s="8" t="n">
        <v>0.6</v>
      </c>
      <c r="C28" s="8" t="n">
        <v>0.585</v>
      </c>
      <c r="D28" s="8" t="n">
        <v>0.575</v>
      </c>
      <c r="E28" s="8" t="n">
        <v>0.57</v>
      </c>
      <c r="F28" s="8" t="n">
        <v>0.565</v>
      </c>
    </row>
    <row r="29" customFormat="false" ht="15" hidden="false" customHeight="true" outlineLevel="0" collapsed="false">
      <c r="A29" s="7" t="s">
        <v>12</v>
      </c>
      <c r="B29" s="8" t="n">
        <v>0.21</v>
      </c>
    </row>
    <row r="30" customFormat="false" ht="15" hidden="false" customHeight="true" outlineLevel="0" collapsed="false">
      <c r="A30" s="7" t="s">
        <v>13</v>
      </c>
      <c r="B30" s="8" t="n">
        <v>0.75</v>
      </c>
    </row>
    <row r="31" customFormat="false" ht="15" hidden="false" customHeight="true" outlineLevel="0" collapsed="false">
      <c r="A31" s="7" t="s">
        <v>14</v>
      </c>
      <c r="B31" s="8" t="n">
        <v>0.06</v>
      </c>
    </row>
    <row r="32" customFormat="false" ht="15" hidden="false" customHeight="true" outlineLevel="0" collapsed="false">
      <c r="A32" s="7" t="s">
        <v>15</v>
      </c>
      <c r="B32" s="9" t="n">
        <v>0.035</v>
      </c>
    </row>
    <row r="33" customFormat="false" ht="15" hidden="false" customHeight="true" outlineLevel="0" collapsed="false">
      <c r="A33" s="7" t="s">
        <v>16</v>
      </c>
      <c r="B33" s="9" t="n">
        <v>0.101</v>
      </c>
    </row>
    <row r="35" customFormat="false" ht="15" hidden="false" customHeight="true" outlineLevel="0" collapsed="false">
      <c r="A35" s="5" t="s">
        <v>19</v>
      </c>
      <c r="B35" s="5"/>
    </row>
    <row r="36" customFormat="false" ht="15" hidden="false" customHeight="true" outlineLevel="0" collapsed="false">
      <c r="A36" s="7" t="s">
        <v>20</v>
      </c>
      <c r="B36" s="9" t="n">
        <v>0.0448</v>
      </c>
    </row>
    <row r="37" customFormat="false" ht="15" hidden="false" customHeight="true" outlineLevel="0" collapsed="false">
      <c r="A37" s="7" t="s">
        <v>21</v>
      </c>
      <c r="B37" s="10" t="n">
        <v>1.3</v>
      </c>
    </row>
    <row r="38" customFormat="false" ht="15" hidden="false" customHeight="true" outlineLevel="0" collapsed="false">
      <c r="A38" s="7" t="s">
        <v>22</v>
      </c>
      <c r="B38" s="8" t="n">
        <v>0.05</v>
      </c>
    </row>
    <row r="39" customFormat="false" ht="15" hidden="false" customHeight="true" outlineLevel="0" collapsed="false">
      <c r="A39" s="3" t="s">
        <v>23</v>
      </c>
      <c r="B39" s="11" t="n">
        <f aca="false">B36+B37*B38</f>
        <v>0.1098</v>
      </c>
    </row>
    <row r="40" customFormat="false" ht="15" hidden="false" customHeight="true" outlineLevel="0" collapsed="false">
      <c r="A40" s="12" t="s">
        <v>24</v>
      </c>
    </row>
    <row r="41" customFormat="false" ht="15" hidden="false" customHeight="true" outlineLevel="0" collapsed="false">
      <c r="A41" s="12" t="s">
        <v>25</v>
      </c>
    </row>
    <row r="43" customFormat="false" ht="15" hidden="false" customHeight="true" outlineLevel="0" collapsed="false">
      <c r="A43" s="5" t="s">
        <v>26</v>
      </c>
      <c r="B43" s="5"/>
      <c r="C43" s="5"/>
      <c r="D43" s="5"/>
      <c r="E43" s="5"/>
      <c r="F43" s="5"/>
    </row>
    <row r="44" customFormat="false" ht="15" hidden="false" customHeight="true" outlineLevel="0" collapsed="false">
      <c r="A44" s="6" t="s">
        <v>4</v>
      </c>
      <c r="B44" s="6" t="s">
        <v>5</v>
      </c>
      <c r="C44" s="6" t="s">
        <v>6</v>
      </c>
      <c r="D44" s="6" t="s">
        <v>7</v>
      </c>
      <c r="E44" s="6" t="s">
        <v>8</v>
      </c>
      <c r="F44" s="6" t="s">
        <v>9</v>
      </c>
    </row>
    <row r="45" customFormat="false" ht="15" hidden="false" customHeight="true" outlineLevel="0" collapsed="false">
      <c r="A45" s="3" t="s">
        <v>10</v>
      </c>
      <c r="B45" s="13" t="n">
        <f aca="false">IF($B$3="Bear",B7,IF($B$3="Base",B17,B27))</f>
        <v>0.06</v>
      </c>
      <c r="C45" s="13" t="n">
        <f aca="false">IF($B$3="Bear",C7,IF($B$3="Base",C17,C27))</f>
        <v>0.05</v>
      </c>
      <c r="D45" s="13" t="n">
        <f aca="false">IF($B$3="Bear",D7,IF($B$3="Base",D17,D27))</f>
        <v>0.05</v>
      </c>
      <c r="E45" s="13" t="n">
        <f aca="false">IF($B$3="Bear",E7,IF($B$3="Base",E17,E27))</f>
        <v>0.045</v>
      </c>
      <c r="F45" s="13" t="n">
        <f aca="false">IF($B$3="Bear",F7,IF($B$3="Base",F17,F27))</f>
        <v>0.045</v>
      </c>
    </row>
    <row r="46" customFormat="false" ht="15" hidden="false" customHeight="true" outlineLevel="0" collapsed="false">
      <c r="A46" s="3" t="s">
        <v>27</v>
      </c>
      <c r="B46" s="13" t="n">
        <f aca="false">IF($B$3="Bear",B8,IF($B$3="Base",B18,B28))</f>
        <v>0.63</v>
      </c>
      <c r="C46" s="13" t="n">
        <f aca="false">IF($B$3="Bear",C8,IF($B$3="Base",C18,C28))</f>
        <v>0.62</v>
      </c>
      <c r="D46" s="13" t="n">
        <f aca="false">IF($B$3="Bear",D8,IF($B$3="Base",D18,D28))</f>
        <v>0.615</v>
      </c>
      <c r="E46" s="13" t="n">
        <f aca="false">IF($B$3="Bear",E8,IF($B$3="Base",E18,E28))</f>
        <v>0.61</v>
      </c>
      <c r="F46" s="13" t="n">
        <f aca="false">IF($B$3="Bear",F8,IF($B$3="Base",F18,F28))</f>
        <v>0.61</v>
      </c>
    </row>
    <row r="47" customFormat="false" ht="15" hidden="false" customHeight="true" outlineLevel="0" collapsed="false">
      <c r="A47" s="3" t="s">
        <v>12</v>
      </c>
      <c r="B47" s="13" t="n">
        <f aca="false">IF($B$3="Bear",B9,IF($B$3="Base",B19,B29))</f>
        <v>0.22</v>
      </c>
    </row>
    <row r="48" customFormat="false" ht="15" hidden="false" customHeight="true" outlineLevel="0" collapsed="false">
      <c r="A48" s="3" t="s">
        <v>13</v>
      </c>
      <c r="B48" s="13" t="n">
        <f aca="false">IF($B$3="Bear",B10,IF($B$3="Base",B20,B30))</f>
        <v>0.65</v>
      </c>
    </row>
    <row r="49" customFormat="false" ht="15" hidden="false" customHeight="true" outlineLevel="0" collapsed="false">
      <c r="A49" s="3" t="s">
        <v>28</v>
      </c>
      <c r="B49" s="13" t="n">
        <f aca="false">IF($B$3="Bear",B11,IF($B$3="Base",B21,B31))</f>
        <v>0.04</v>
      </c>
    </row>
    <row r="50" customFormat="false" ht="15" hidden="false" customHeight="true" outlineLevel="0" collapsed="false">
      <c r="A50" s="3" t="s">
        <v>15</v>
      </c>
      <c r="B50" s="14" t="n">
        <f aca="false">IF($B$3="Bear",B12,IF($B$3="Base",B22,B32))</f>
        <v>0.03</v>
      </c>
    </row>
    <row r="51" customFormat="false" ht="15" hidden="false" customHeight="true" outlineLevel="0" collapsed="false">
      <c r="A51" s="3" t="s">
        <v>16</v>
      </c>
      <c r="B51" s="14" t="n">
        <f aca="false">IF($B$3="Bear",B13,IF($B$3="Base",B23,B33))</f>
        <v>0.108</v>
      </c>
    </row>
    <row r="53" customFormat="false" ht="15" hidden="false" customHeight="true" outlineLevel="0" collapsed="false">
      <c r="A53" s="3" t="s">
        <v>29</v>
      </c>
      <c r="B53" s="15" t="n">
        <v>900</v>
      </c>
    </row>
    <row r="55" customFormat="false" ht="15" hidden="false" customHeight="true" outlineLevel="0" collapsed="false">
      <c r="A55" s="5" t="s">
        <v>30</v>
      </c>
      <c r="B55" s="5"/>
    </row>
    <row r="56" customFormat="false" ht="15" hidden="false" customHeight="true" outlineLevel="0" collapsed="false">
      <c r="A56" s="7" t="s">
        <v>31</v>
      </c>
      <c r="B56" s="16" t="n">
        <v>1022.11</v>
      </c>
    </row>
    <row r="57" customFormat="false" ht="15" hidden="false" customHeight="true" outlineLevel="0" collapsed="false">
      <c r="A57" s="7" t="s">
        <v>32</v>
      </c>
      <c r="B57" s="17" t="n">
        <v>295</v>
      </c>
    </row>
    <row r="58" customFormat="false" ht="15" hidden="false" customHeight="true" outlineLevel="0" collapsed="false">
      <c r="A58" s="3" t="s">
        <v>33</v>
      </c>
      <c r="B58" s="18" t="n">
        <f aca="false">B56*B57</f>
        <v>301522.45</v>
      </c>
    </row>
    <row r="59" customFormat="false" ht="15" hidden="false" customHeight="true" outlineLevel="0" collapsed="false">
      <c r="A59" s="7" t="s">
        <v>34</v>
      </c>
      <c r="B59" s="15" t="n">
        <v>107494.6</v>
      </c>
    </row>
    <row r="60" customFormat="false" ht="15" hidden="false" customHeight="true" outlineLevel="0" collapsed="false">
      <c r="A60" s="7" t="s">
        <v>35</v>
      </c>
      <c r="B60" s="15" t="n">
        <v>58280</v>
      </c>
    </row>
  </sheetData>
  <mergeCells count="7">
    <mergeCell ref="A1:H1"/>
    <mergeCell ref="A5:F5"/>
    <mergeCell ref="A15:F15"/>
    <mergeCell ref="A25:F25"/>
    <mergeCell ref="A35:B35"/>
    <mergeCell ref="A43:F43"/>
    <mergeCell ref="A55:B55"/>
  </mergeCells>
  <dataValidations count="1">
    <dataValidation allowBlank="false" errorStyle="stop" operator="between" showDropDown="false" showErrorMessage="false" showInputMessage="false" sqref="B3" type="list">
      <formula1>"Bear,Base,Bull"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7" min="2" style="1" width="13"/>
  </cols>
  <sheetData>
    <row r="1" customFormat="false" ht="27.75" hidden="false" customHeight="true" outlineLevel="0" collapsed="false">
      <c r="A1" s="2" t="s">
        <v>36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12" t="s">
        <v>37</v>
      </c>
    </row>
    <row r="4" customFormat="false" ht="15" hidden="false" customHeight="true" outlineLevel="0" collapsed="false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</row>
    <row r="5" customFormat="false" ht="15" hidden="false" customHeight="true" outlineLevel="0" collapsed="false">
      <c r="A5" s="7" t="s">
        <v>38</v>
      </c>
      <c r="B5" s="19" t="n">
        <f aca="false">Assumptions!$B$60*(1+Assumptions!B45)</f>
        <v>61776.8</v>
      </c>
      <c r="C5" s="19" t="n">
        <f aca="false">B5*(1+Assumptions!C45)</f>
        <v>64865.64</v>
      </c>
      <c r="D5" s="19" t="n">
        <f aca="false">C5*(1+Assumptions!D45)</f>
        <v>68108.922</v>
      </c>
      <c r="E5" s="19" t="n">
        <f aca="false">D5*(1+Assumptions!E45)</f>
        <v>71173.82349</v>
      </c>
      <c r="F5" s="19" t="n">
        <f aca="false">E5*(1+Assumptions!F45)</f>
        <v>74376.64554705</v>
      </c>
    </row>
    <row r="6" customFormat="false" ht="15" hidden="false" customHeight="true" outlineLevel="0" collapsed="false">
      <c r="A6" s="7" t="s">
        <v>39</v>
      </c>
      <c r="B6" s="19" t="n">
        <f aca="false">B5*Assumptions!B46</f>
        <v>38919.384</v>
      </c>
      <c r="C6" s="19" t="n">
        <f aca="false">C5*Assumptions!C46</f>
        <v>40216.6968</v>
      </c>
      <c r="D6" s="19" t="n">
        <f aca="false">D5*Assumptions!D46</f>
        <v>41886.98703</v>
      </c>
      <c r="E6" s="19" t="n">
        <f aca="false">E5*Assumptions!E46</f>
        <v>43416.0323289</v>
      </c>
      <c r="F6" s="19" t="n">
        <f aca="false">F5*Assumptions!F46</f>
        <v>45369.7537837005</v>
      </c>
    </row>
    <row r="7" customFormat="false" ht="15" hidden="false" customHeight="true" outlineLevel="0" collapsed="false">
      <c r="A7" s="7" t="s">
        <v>40</v>
      </c>
      <c r="B7" s="19" t="n">
        <f aca="false">B5-B6</f>
        <v>22857.416</v>
      </c>
      <c r="C7" s="19" t="n">
        <f aca="false">C5-C6</f>
        <v>24648.9432</v>
      </c>
      <c r="D7" s="19" t="n">
        <f aca="false">D5-D6</f>
        <v>26221.93497</v>
      </c>
      <c r="E7" s="19" t="n">
        <f aca="false">E5-E6</f>
        <v>27757.7911611</v>
      </c>
      <c r="F7" s="19" t="n">
        <f aca="false">F5-F6</f>
        <v>29006.8917633495</v>
      </c>
    </row>
    <row r="8" customFormat="false" ht="15" hidden="false" customHeight="true" outlineLevel="0" collapsed="false">
      <c r="A8" s="7" t="s">
        <v>41</v>
      </c>
      <c r="B8" s="19" t="n">
        <f aca="false">B7*Assumptions!$B$47</f>
        <v>5028.63152</v>
      </c>
      <c r="C8" s="19" t="n">
        <f aca="false">C7*Assumptions!$B$47</f>
        <v>5422.767504</v>
      </c>
      <c r="D8" s="19" t="n">
        <f aca="false">D7*Assumptions!$B$47</f>
        <v>5768.8256934</v>
      </c>
      <c r="E8" s="19" t="n">
        <f aca="false">E7*Assumptions!$B$47</f>
        <v>6106.714055442</v>
      </c>
      <c r="F8" s="19" t="n">
        <f aca="false">F7*Assumptions!$B$47</f>
        <v>6381.51618793689</v>
      </c>
    </row>
    <row r="9" customFormat="false" ht="15" hidden="false" customHeight="true" outlineLevel="0" collapsed="false">
      <c r="A9" s="7" t="s">
        <v>42</v>
      </c>
      <c r="B9" s="19" t="n">
        <f aca="false">B7-B8</f>
        <v>17828.78448</v>
      </c>
      <c r="C9" s="19" t="n">
        <f aca="false">C7-C8</f>
        <v>19226.175696</v>
      </c>
      <c r="D9" s="19" t="n">
        <f aca="false">D7-D8</f>
        <v>20453.1092766</v>
      </c>
      <c r="E9" s="19" t="n">
        <f aca="false">E7-E8</f>
        <v>21651.077105658</v>
      </c>
      <c r="F9" s="19" t="n">
        <f aca="false">F7-F8</f>
        <v>22625.3755754126</v>
      </c>
    </row>
    <row r="10" customFormat="false" ht="15" hidden="false" customHeight="true" outlineLevel="0" collapsed="false">
      <c r="A10" s="7" t="s">
        <v>43</v>
      </c>
      <c r="B10" s="19" t="n">
        <f aca="false">Assumptions!$B$53</f>
        <v>900</v>
      </c>
      <c r="C10" s="19" t="n">
        <f aca="false">Assumptions!$B$53</f>
        <v>900</v>
      </c>
      <c r="D10" s="19" t="n">
        <f aca="false">Assumptions!$B$53</f>
        <v>900</v>
      </c>
      <c r="E10" s="19" t="n">
        <f aca="false">Assumptions!$B$53</f>
        <v>900</v>
      </c>
      <c r="F10" s="19" t="n">
        <f aca="false">Assumptions!$B$53</f>
        <v>900</v>
      </c>
    </row>
    <row r="11" customFormat="false" ht="15" hidden="false" customHeight="true" outlineLevel="0" collapsed="false">
      <c r="A11" s="3" t="s">
        <v>44</v>
      </c>
      <c r="B11" s="19" t="n">
        <f aca="false">B9-B10</f>
        <v>16928.78448</v>
      </c>
      <c r="C11" s="19" t="n">
        <f aca="false">C9-C10</f>
        <v>18326.175696</v>
      </c>
      <c r="D11" s="19" t="n">
        <f aca="false">D9-D10</f>
        <v>19553.1092766</v>
      </c>
      <c r="E11" s="19" t="n">
        <f aca="false">E9-E10</f>
        <v>20751.077105658</v>
      </c>
      <c r="F11" s="19" t="n">
        <f aca="false">F9-F10</f>
        <v>21725.3755754126</v>
      </c>
    </row>
    <row r="12" customFormat="false" ht="15" hidden="false" customHeight="true" outlineLevel="0" collapsed="false">
      <c r="A12" s="7" t="s">
        <v>45</v>
      </c>
      <c r="B12" s="19" t="n">
        <f aca="false">Assumptions!$B$59</f>
        <v>107494.6</v>
      </c>
      <c r="C12" s="19" t="n">
        <f aca="false">B15</f>
        <v>111794.384</v>
      </c>
      <c r="D12" s="19" t="n">
        <f aca="false">C15</f>
        <v>116266.15936</v>
      </c>
      <c r="E12" s="19" t="n">
        <f aca="false">D15</f>
        <v>120916.8057344</v>
      </c>
      <c r="F12" s="19" t="n">
        <f aca="false">E15</f>
        <v>125753.477963776</v>
      </c>
    </row>
    <row r="13" customFormat="false" ht="15" hidden="false" customHeight="true" outlineLevel="0" collapsed="false">
      <c r="A13" s="7" t="s">
        <v>46</v>
      </c>
      <c r="B13" s="19" t="n">
        <f aca="false">B12*Assumptions!$B$49</f>
        <v>4299.784</v>
      </c>
      <c r="C13" s="19" t="n">
        <f aca="false">C12*Assumptions!$B$49</f>
        <v>4471.77536</v>
      </c>
      <c r="D13" s="19" t="n">
        <f aca="false">D12*Assumptions!$B$49</f>
        <v>4650.6463744</v>
      </c>
      <c r="E13" s="19" t="n">
        <f aca="false">E12*Assumptions!$B$49</f>
        <v>4836.672229376</v>
      </c>
      <c r="F13" s="19" t="n">
        <f aca="false">F12*Assumptions!$B$49</f>
        <v>5030.13911855104</v>
      </c>
    </row>
    <row r="14" customFormat="false" ht="15" hidden="false" customHeight="true" outlineLevel="0" collapsed="false">
      <c r="A14" s="3" t="s">
        <v>47</v>
      </c>
      <c r="B14" s="19" t="n">
        <f aca="false">B11-B13</f>
        <v>12629.00048</v>
      </c>
      <c r="C14" s="19" t="n">
        <f aca="false">C11-C13</f>
        <v>13854.400336</v>
      </c>
      <c r="D14" s="19" t="n">
        <f aca="false">D11-D13</f>
        <v>14902.4629022</v>
      </c>
      <c r="E14" s="19" t="n">
        <f aca="false">E11-E13</f>
        <v>15914.404876282</v>
      </c>
      <c r="F14" s="19" t="n">
        <f aca="false">F11-F13</f>
        <v>16695.2364568616</v>
      </c>
    </row>
    <row r="15" customFormat="false" ht="15" hidden="false" customHeight="true" outlineLevel="0" collapsed="false">
      <c r="A15" s="7" t="s">
        <v>48</v>
      </c>
      <c r="B15" s="19" t="n">
        <f aca="false">B12+B13</f>
        <v>111794.384</v>
      </c>
      <c r="C15" s="19" t="n">
        <f aca="false">C12+C13</f>
        <v>116266.15936</v>
      </c>
      <c r="D15" s="19" t="n">
        <f aca="false">D12+D13</f>
        <v>120916.8057344</v>
      </c>
      <c r="E15" s="19" t="n">
        <f aca="false">E12+E13</f>
        <v>125753.477963776</v>
      </c>
      <c r="F15" s="19" t="n">
        <f aca="false">F12+F13</f>
        <v>130783.617082327</v>
      </c>
    </row>
    <row r="16" customFormat="false" ht="15" hidden="false" customHeight="true" outlineLevel="0" collapsed="false">
      <c r="A16" s="7" t="s">
        <v>49</v>
      </c>
      <c r="B16" s="20" t="n">
        <f aca="false">B13/B11</f>
        <v>0.253992482749122</v>
      </c>
      <c r="C16" s="20" t="n">
        <f aca="false">C13/C11</f>
        <v>0.244010285297878</v>
      </c>
      <c r="D16" s="20" t="n">
        <f aca="false">D13/D11</f>
        <v>0.237846897320091</v>
      </c>
      <c r="E16" s="20" t="n">
        <f aca="false">E13/E11</f>
        <v>0.233080538651039</v>
      </c>
      <c r="F16" s="20" t="n">
        <f aca="false">F13/F11</f>
        <v>0.231532895764703</v>
      </c>
    </row>
    <row r="19" customFormat="false" ht="15" hidden="false" customHeight="true" outlineLevel="0" collapsed="false">
      <c r="A19" s="21" t="s">
        <v>50</v>
      </c>
      <c r="B19" s="21"/>
      <c r="C19" s="21"/>
      <c r="D19" s="21"/>
      <c r="E19" s="21"/>
      <c r="F19" s="21"/>
      <c r="G19" s="21"/>
    </row>
    <row r="20" customFormat="false" ht="15" hidden="false" customHeight="true" outlineLevel="0" collapsed="false">
      <c r="A20" s="21" t="s">
        <v>51</v>
      </c>
      <c r="B20" s="21"/>
      <c r="C20" s="21"/>
      <c r="D20" s="21"/>
      <c r="E20" s="21"/>
      <c r="F20" s="21"/>
      <c r="G20" s="21"/>
    </row>
    <row r="21" customFormat="false" ht="15" hidden="false" customHeight="true" outlineLevel="0" collapsed="false">
      <c r="A21" s="21" t="s">
        <v>52</v>
      </c>
      <c r="B21" s="21"/>
      <c r="C21" s="21"/>
      <c r="D21" s="21"/>
      <c r="E21" s="21"/>
      <c r="F21" s="21"/>
      <c r="G21" s="21"/>
    </row>
    <row r="22" customFormat="false" ht="15" hidden="false" customHeight="true" outlineLevel="0" collapsed="false">
      <c r="A22" s="21" t="s">
        <v>53</v>
      </c>
      <c r="B22" s="21"/>
      <c r="C22" s="21"/>
      <c r="D22" s="21"/>
      <c r="E22" s="21"/>
      <c r="F22" s="21"/>
      <c r="G22" s="21"/>
    </row>
    <row r="23" customFormat="false" ht="15" hidden="false" customHeight="true" outlineLevel="0" collapsed="false">
      <c r="A23" s="21" t="s">
        <v>54</v>
      </c>
      <c r="B23" s="21"/>
      <c r="C23" s="21"/>
      <c r="D23" s="21"/>
      <c r="E23" s="21"/>
      <c r="F23" s="21"/>
      <c r="G23" s="21"/>
    </row>
  </sheetData>
  <mergeCells count="6">
    <mergeCell ref="A1:G1"/>
    <mergeCell ref="A19:G19"/>
    <mergeCell ref="A20:G20"/>
    <mergeCell ref="A21:G21"/>
    <mergeCell ref="A22:G22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7" min="2" style="1" width="13"/>
  </cols>
  <sheetData>
    <row r="1" customFormat="false" ht="27.75" hidden="false" customHeight="true" outlineLevel="0" collapsed="false">
      <c r="A1" s="2" t="s">
        <v>55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12" t="s">
        <v>56</v>
      </c>
    </row>
    <row r="4" customFormat="false" ht="15" hidden="false" customHeight="true" outlineLevel="0" collapsed="false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</row>
    <row r="5" customFormat="false" ht="15" hidden="false" customHeight="true" outlineLevel="0" collapsed="false">
      <c r="A5" s="7" t="s">
        <v>57</v>
      </c>
      <c r="B5" s="22" t="n">
        <v>1</v>
      </c>
      <c r="C5" s="22" t="n">
        <v>2</v>
      </c>
      <c r="D5" s="22" t="n">
        <v>3</v>
      </c>
      <c r="E5" s="22" t="n">
        <v>4</v>
      </c>
      <c r="F5" s="22" t="n">
        <v>5</v>
      </c>
    </row>
    <row r="6" customFormat="false" ht="15" hidden="false" customHeight="true" outlineLevel="0" collapsed="false">
      <c r="A6" s="3" t="s">
        <v>58</v>
      </c>
      <c r="B6" s="23" t="n">
        <f aca="false">'FCFE Build'!B14</f>
        <v>12629.00048</v>
      </c>
      <c r="C6" s="23" t="n">
        <f aca="false">'FCFE Build'!C14</f>
        <v>13854.400336</v>
      </c>
      <c r="D6" s="23" t="n">
        <f aca="false">'FCFE Build'!D14</f>
        <v>14902.4629022</v>
      </c>
      <c r="E6" s="23" t="n">
        <f aca="false">'FCFE Build'!E14</f>
        <v>15914.404876282</v>
      </c>
      <c r="F6" s="23" t="n">
        <f aca="false">'FCFE Build'!F14</f>
        <v>16695.2364568616</v>
      </c>
    </row>
    <row r="7" customFormat="false" ht="15" hidden="false" customHeight="true" outlineLevel="0" collapsed="false">
      <c r="A7" s="7" t="s">
        <v>59</v>
      </c>
      <c r="B7" s="24" t="n">
        <f aca="false">1/(1+Assumptions!$B$51)^B5</f>
        <v>0.902527075812274</v>
      </c>
      <c r="C7" s="24" t="n">
        <f aca="false">1/(1+Assumptions!$B$51)^C5</f>
        <v>0.814555122574255</v>
      </c>
      <c r="D7" s="24" t="n">
        <f aca="false">1/(1+Assumptions!$B$51)^D5</f>
        <v>0.735158052864851</v>
      </c>
      <c r="E7" s="24" t="n">
        <f aca="false">1/(1+Assumptions!$B$51)^E5</f>
        <v>0.663500047711959</v>
      </c>
      <c r="F7" s="24" t="n">
        <f aca="false">1/(1+Assumptions!$B$51)^F5</f>
        <v>0.598826757862779</v>
      </c>
    </row>
    <row r="8" customFormat="false" ht="15" hidden="false" customHeight="true" outlineLevel="0" collapsed="false">
      <c r="A8" s="3" t="s">
        <v>60</v>
      </c>
      <c r="B8" s="18" t="n">
        <f aca="false">B6*B7</f>
        <v>11398.0148736462</v>
      </c>
      <c r="C8" s="18" t="n">
        <f aca="false">C6*C7</f>
        <v>11285.1727638833</v>
      </c>
      <c r="D8" s="18" t="n">
        <f aca="false">D6*D7</f>
        <v>10955.665610072</v>
      </c>
      <c r="E8" s="18" t="n">
        <f aca="false">E6*E7</f>
        <v>10559.2083947205</v>
      </c>
      <c r="F8" s="18" t="n">
        <f aca="false">F6*F7</f>
        <v>9997.55431921488</v>
      </c>
    </row>
    <row r="10" customFormat="false" ht="15" hidden="false" customHeight="true" outlineLevel="0" collapsed="false">
      <c r="A10" s="5" t="s">
        <v>61</v>
      </c>
      <c r="B10" s="5"/>
    </row>
    <row r="11" customFormat="false" ht="15" hidden="false" customHeight="true" outlineLevel="0" collapsed="false">
      <c r="A11" s="7" t="s">
        <v>62</v>
      </c>
      <c r="B11" s="18" t="n">
        <f aca="false">SUM(B8:F8)</f>
        <v>54195.6159615369</v>
      </c>
    </row>
    <row r="12" customFormat="false" ht="15" hidden="false" customHeight="true" outlineLevel="0" collapsed="false">
      <c r="A12" s="7" t="s">
        <v>63</v>
      </c>
      <c r="B12" s="18" t="n">
        <f aca="false">F6*(1+Assumptions!$B$50)/(Assumptions!$B$51-Assumptions!$B$50)</f>
        <v>220462.737827787</v>
      </c>
    </row>
    <row r="13" customFormat="false" ht="15" hidden="false" customHeight="true" outlineLevel="0" collapsed="false">
      <c r="A13" s="7" t="s">
        <v>64</v>
      </c>
      <c r="B13" s="18" t="n">
        <f aca="false">B12*F7</f>
        <v>132018.986522966</v>
      </c>
    </row>
    <row r="14" customFormat="false" ht="15" hidden="false" customHeight="true" outlineLevel="0" collapsed="false">
      <c r="A14" s="12" t="s">
        <v>65</v>
      </c>
      <c r="B14" s="25" t="n">
        <f aca="false">B13/B15</f>
        <v>0.708961514089384</v>
      </c>
    </row>
    <row r="15" customFormat="false" ht="15" hidden="false" customHeight="true" outlineLevel="0" collapsed="false">
      <c r="A15" s="3" t="s">
        <v>66</v>
      </c>
      <c r="B15" s="26" t="n">
        <f aca="false">B11+B13</f>
        <v>186214.602484503</v>
      </c>
    </row>
    <row r="16" customFormat="false" ht="15" hidden="false" customHeight="true" outlineLevel="0" collapsed="false">
      <c r="A16" s="7" t="s">
        <v>67</v>
      </c>
      <c r="B16" s="27" t="n">
        <f aca="false">Assumptions!$B$57</f>
        <v>295</v>
      </c>
    </row>
    <row r="17" customFormat="false" ht="15.75" hidden="false" customHeight="true" outlineLevel="0" collapsed="false">
      <c r="A17" s="28" t="s">
        <v>68</v>
      </c>
      <c r="B17" s="29" t="n">
        <f aca="false">B15/B16</f>
        <v>631.235940625433</v>
      </c>
    </row>
    <row r="18" customFormat="false" ht="15" hidden="false" customHeight="true" outlineLevel="0" collapsed="false">
      <c r="A18" s="7" t="s">
        <v>69</v>
      </c>
      <c r="B18" s="30" t="n">
        <f aca="false">Assumptions!$B$56</f>
        <v>1022.11</v>
      </c>
    </row>
    <row r="19" customFormat="false" ht="15" hidden="false" customHeight="true" outlineLevel="0" collapsed="false">
      <c r="A19" s="3" t="s">
        <v>70</v>
      </c>
      <c r="B19" s="31" t="n">
        <f aca="false">B17/B18-1</f>
        <v>-0.382418780145549</v>
      </c>
    </row>
    <row r="22" customFormat="false" ht="15" hidden="false" customHeight="true" outlineLevel="0" collapsed="false">
      <c r="A22" s="21" t="s">
        <v>71</v>
      </c>
      <c r="B22" s="21"/>
      <c r="C22" s="21"/>
      <c r="D22" s="21"/>
      <c r="E22" s="21"/>
      <c r="F22" s="21"/>
      <c r="G22" s="21"/>
    </row>
    <row r="23" customFormat="false" ht="15" hidden="false" customHeight="true" outlineLevel="0" collapsed="false">
      <c r="A23" s="21" t="s">
        <v>72</v>
      </c>
      <c r="B23" s="21"/>
      <c r="C23" s="21"/>
      <c r="D23" s="21"/>
      <c r="E23" s="21"/>
      <c r="F23" s="21"/>
      <c r="G23" s="21"/>
    </row>
    <row r="24" customFormat="false" ht="15" hidden="false" customHeight="true" outlineLevel="0" collapsed="false">
      <c r="A24" s="21" t="s">
        <v>73</v>
      </c>
      <c r="B24" s="21"/>
      <c r="C24" s="21"/>
      <c r="D24" s="21"/>
      <c r="E24" s="21"/>
      <c r="F24" s="21"/>
      <c r="G24" s="21"/>
    </row>
  </sheetData>
  <mergeCells count="5">
    <mergeCell ref="A1:G1"/>
    <mergeCell ref="A10:B10"/>
    <mergeCell ref="A22:G22"/>
    <mergeCell ref="A23:G23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7" min="2" style="1" width="13"/>
  </cols>
  <sheetData>
    <row r="1" customFormat="false" ht="27.75" hidden="false" customHeight="true" outlineLevel="0" collapsed="false">
      <c r="A1" s="2" t="s">
        <v>74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5" t="s">
        <v>75</v>
      </c>
      <c r="B3" s="5"/>
    </row>
    <row r="4" customFormat="false" ht="15" hidden="false" customHeight="true" outlineLevel="0" collapsed="false">
      <c r="A4" s="7" t="s">
        <v>76</v>
      </c>
      <c r="B4" s="18" t="n">
        <f aca="false">Assumptions!$B$58</f>
        <v>301522.45</v>
      </c>
    </row>
    <row r="5" customFormat="false" ht="15" hidden="false" customHeight="true" outlineLevel="0" collapsed="false">
      <c r="A5" s="7" t="s">
        <v>77</v>
      </c>
      <c r="B5" s="23" t="n">
        <f aca="false">'DCF Valuation'!B6</f>
        <v>12629.00048</v>
      </c>
    </row>
    <row r="6" customFormat="false" ht="15" hidden="false" customHeight="true" outlineLevel="0" collapsed="false">
      <c r="A6" s="7" t="s">
        <v>78</v>
      </c>
      <c r="B6" s="14" t="n">
        <f aca="false">Assumptions!$B$51</f>
        <v>0.108</v>
      </c>
    </row>
    <row r="7" customFormat="false" ht="15" hidden="false" customHeight="true" outlineLevel="0" collapsed="false">
      <c r="A7" s="7" t="s">
        <v>79</v>
      </c>
      <c r="B7" s="14" t="n">
        <f aca="false">B5/B4</f>
        <v>0.0418841133719894</v>
      </c>
    </row>
    <row r="8" customFormat="false" ht="15" hidden="false" customHeight="true" outlineLevel="0" collapsed="false">
      <c r="A8" s="3" t="s">
        <v>80</v>
      </c>
      <c r="B8" s="32" t="n">
        <f aca="false">B6-B7</f>
        <v>0.0661158866280106</v>
      </c>
    </row>
    <row r="10" customFormat="false" ht="15" hidden="false" customHeight="true" outlineLevel="0" collapsed="false">
      <c r="A10" s="21" t="s">
        <v>81</v>
      </c>
      <c r="B10" s="21"/>
      <c r="C10" s="21"/>
      <c r="D10" s="21"/>
      <c r="E10" s="21"/>
      <c r="F10" s="21"/>
      <c r="G10" s="21"/>
    </row>
    <row r="11" customFormat="false" ht="15" hidden="false" customHeight="true" outlineLevel="0" collapsed="false">
      <c r="A11" s="21" t="s">
        <v>82</v>
      </c>
      <c r="B11" s="21"/>
      <c r="C11" s="21"/>
      <c r="D11" s="21"/>
      <c r="E11" s="21"/>
      <c r="F11" s="21"/>
      <c r="G11" s="21"/>
    </row>
    <row r="12" customFormat="false" ht="15" hidden="false" customHeight="true" outlineLevel="0" collapsed="false">
      <c r="A12" s="21" t="s">
        <v>83</v>
      </c>
      <c r="B12" s="21"/>
      <c r="C12" s="21"/>
      <c r="D12" s="21"/>
      <c r="E12" s="21"/>
      <c r="F12" s="21"/>
      <c r="G12" s="21"/>
    </row>
    <row r="13" customFormat="false" ht="15" hidden="false" customHeight="true" outlineLevel="0" collapsed="false">
      <c r="A13" s="21" t="s">
        <v>84</v>
      </c>
      <c r="B13" s="21"/>
      <c r="C13" s="21"/>
      <c r="D13" s="21"/>
      <c r="E13" s="21"/>
      <c r="F13" s="21"/>
      <c r="G13" s="21"/>
    </row>
    <row r="14" customFormat="false" ht="15" hidden="false" customHeight="true" outlineLevel="0" collapsed="false">
      <c r="A14" s="21" t="s">
        <v>85</v>
      </c>
      <c r="B14" s="21"/>
      <c r="C14" s="21"/>
      <c r="D14" s="21"/>
      <c r="E14" s="21"/>
      <c r="F14" s="21"/>
      <c r="G14" s="21"/>
    </row>
    <row r="16" customFormat="false" ht="15" hidden="false" customHeight="true" outlineLevel="0" collapsed="false">
      <c r="A16" s="5" t="s">
        <v>86</v>
      </c>
      <c r="B16" s="5"/>
      <c r="C16" s="5"/>
      <c r="D16" s="5"/>
      <c r="E16" s="5"/>
      <c r="F16" s="5"/>
      <c r="G16" s="5"/>
    </row>
    <row r="17" customFormat="false" ht="15" hidden="false" customHeight="true" outlineLevel="0" collapsed="false">
      <c r="A17" s="6" t="s">
        <v>87</v>
      </c>
      <c r="B17" s="33" t="n">
        <v>0.085</v>
      </c>
      <c r="C17" s="33" t="n">
        <v>0.095</v>
      </c>
      <c r="D17" s="33" t="n">
        <v>0.105</v>
      </c>
      <c r="E17" s="33" t="n">
        <v>0.115</v>
      </c>
      <c r="F17" s="33" t="n">
        <v>0.125</v>
      </c>
      <c r="G17" s="33" t="n">
        <v>0.135</v>
      </c>
    </row>
    <row r="18" customFormat="false" ht="15" hidden="false" customHeight="true" outlineLevel="0" collapsed="false">
      <c r="A18" s="7" t="s">
        <v>88</v>
      </c>
      <c r="B18" s="14" t="n">
        <f aca="false">B17-$B$5/$B$4</f>
        <v>0.0431158866280106</v>
      </c>
      <c r="C18" s="14" t="n">
        <f aca="false">C17-$B$5/$B$4</f>
        <v>0.0531158866280106</v>
      </c>
      <c r="D18" s="14" t="n">
        <f aca="false">D17-$B$5/$B$4</f>
        <v>0.0631158866280106</v>
      </c>
      <c r="E18" s="14" t="n">
        <f aca="false">E17-$B$5/$B$4</f>
        <v>0.0731158866280106</v>
      </c>
      <c r="F18" s="14" t="n">
        <f aca="false">F17-$B$5/$B$4</f>
        <v>0.0831158866280106</v>
      </c>
      <c r="G18" s="14" t="n">
        <f aca="false">G17-$B$5/$B$4</f>
        <v>0.0931158866280106</v>
      </c>
    </row>
    <row r="20" customFormat="false" ht="15" hidden="false" customHeight="true" outlineLevel="0" collapsed="false">
      <c r="A20" s="5" t="s">
        <v>89</v>
      </c>
      <c r="B20" s="5"/>
      <c r="C20" s="5"/>
      <c r="D20" s="5"/>
      <c r="E20" s="5"/>
      <c r="F20" s="5"/>
      <c r="G20" s="5"/>
    </row>
    <row r="21" customFormat="false" ht="15" hidden="false" customHeight="true" outlineLevel="0" collapsed="false">
      <c r="A21" s="12" t="s">
        <v>90</v>
      </c>
    </row>
    <row r="22" customFormat="false" ht="15" hidden="false" customHeight="true" outlineLevel="0" collapsed="false">
      <c r="A22" s="7" t="s">
        <v>91</v>
      </c>
      <c r="B22" s="13" t="n">
        <f aca="false">1-Assumptions!$B$20</f>
        <v>0.35</v>
      </c>
    </row>
    <row r="23" customFormat="false" ht="15" hidden="false" customHeight="true" outlineLevel="0" collapsed="false">
      <c r="A23" s="3" t="s">
        <v>92</v>
      </c>
      <c r="B23" s="31" t="n">
        <f aca="false">B8/B22</f>
        <v>0.188902533222888</v>
      </c>
    </row>
    <row r="24" customFormat="false" ht="15" hidden="false" customHeight="true" outlineLevel="0" collapsed="false">
      <c r="A24" s="12" t="s">
        <v>93</v>
      </c>
    </row>
    <row r="26" customFormat="false" ht="15" hidden="false" customHeight="true" outlineLevel="0" collapsed="false">
      <c r="A26" s="21" t="s">
        <v>94</v>
      </c>
      <c r="B26" s="21"/>
      <c r="C26" s="21"/>
      <c r="D26" s="21"/>
      <c r="E26" s="21"/>
      <c r="F26" s="21"/>
      <c r="G26" s="21"/>
    </row>
    <row r="27" customFormat="false" ht="15" hidden="false" customHeight="true" outlineLevel="0" collapsed="false">
      <c r="A27" s="21" t="s">
        <v>95</v>
      </c>
      <c r="B27" s="21"/>
      <c r="C27" s="21"/>
      <c r="D27" s="21"/>
      <c r="E27" s="21"/>
      <c r="F27" s="21"/>
      <c r="G27" s="21"/>
    </row>
    <row r="28" customFormat="false" ht="15" hidden="false" customHeight="true" outlineLevel="0" collapsed="false">
      <c r="A28" s="21" t="s">
        <v>96</v>
      </c>
      <c r="B28" s="21"/>
      <c r="C28" s="21"/>
      <c r="D28" s="21"/>
      <c r="E28" s="21"/>
      <c r="F28" s="21"/>
      <c r="G28" s="21"/>
    </row>
    <row r="29" customFormat="false" ht="15" hidden="false" customHeight="true" outlineLevel="0" collapsed="false">
      <c r="A29" s="21" t="s">
        <v>97</v>
      </c>
      <c r="B29" s="21"/>
      <c r="C29" s="21"/>
      <c r="D29" s="21"/>
      <c r="E29" s="21"/>
      <c r="F29" s="21"/>
      <c r="G29" s="21"/>
    </row>
    <row r="30" customFormat="false" ht="15" hidden="false" customHeight="true" outlineLevel="0" collapsed="false">
      <c r="A30" s="21" t="s">
        <v>98</v>
      </c>
      <c r="B30" s="21"/>
      <c r="C30" s="21"/>
      <c r="D30" s="21"/>
      <c r="E30" s="21"/>
      <c r="F30" s="21"/>
      <c r="G30" s="21"/>
    </row>
  </sheetData>
  <mergeCells count="14">
    <mergeCell ref="A1:G1"/>
    <mergeCell ref="A3:B3"/>
    <mergeCell ref="A10:G10"/>
    <mergeCell ref="A11:G11"/>
    <mergeCell ref="A12:G12"/>
    <mergeCell ref="A13:G13"/>
    <mergeCell ref="A14:G14"/>
    <mergeCell ref="A16:G16"/>
    <mergeCell ref="A20:G20"/>
    <mergeCell ref="A26:G26"/>
    <mergeCell ref="A27:G27"/>
    <mergeCell ref="A28:G28"/>
    <mergeCell ref="A29:G29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8" min="2" style="1" width="12"/>
  </cols>
  <sheetData>
    <row r="1" customFormat="false" ht="27.75" hidden="false" customHeight="true" outlineLevel="0" collapsed="false">
      <c r="A1" s="2" t="s">
        <v>99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5" t="s">
        <v>100</v>
      </c>
      <c r="B3" s="5"/>
      <c r="C3" s="5"/>
      <c r="D3" s="5"/>
      <c r="E3" s="5"/>
      <c r="F3" s="5"/>
      <c r="G3" s="5"/>
      <c r="H3" s="5"/>
    </row>
    <row r="5" customFormat="false" ht="15" hidden="false" customHeight="true" outlineLevel="0" collapsed="false">
      <c r="A5" s="34" t="s">
        <v>101</v>
      </c>
      <c r="B5" s="35" t="n">
        <v>0.015</v>
      </c>
      <c r="C5" s="35" t="n">
        <v>0.02</v>
      </c>
      <c r="D5" s="35" t="n">
        <v>0.025</v>
      </c>
      <c r="E5" s="35" t="n">
        <v>0.03</v>
      </c>
      <c r="F5" s="35" t="n">
        <v>0.035</v>
      </c>
      <c r="G5" s="35" t="n">
        <v>0.04</v>
      </c>
    </row>
    <row r="6" customFormat="false" ht="15" hidden="false" customHeight="true" outlineLevel="0" collapsed="false">
      <c r="A6" s="35" t="n">
        <v>0.085</v>
      </c>
      <c r="B6" s="36" t="n">
        <f aca="false">(SUMPRODUCT('FCFE Build'!$B$14:$F$14/(1+$A6)^'DCF Valuation'!$B$5:$F$5)+(('FCFE Build'!$F$14*(1+B$5))/($A6-B$5))/(1+$A6)^5)/Assumptions!$B$57</f>
        <v>741.209877403258</v>
      </c>
      <c r="C6" s="36" t="n">
        <f aca="false">(SUMPRODUCT('FCFE Build'!$B$14:$F$14/(1+$A6)^'DCF Valuation'!$B$5:$F$5)+(('FCFE Build'!$F$14*(1+C$5))/($A6-C$5))/(1+$A6)^5)/Assumptions!$B$57</f>
        <v>786.085471730112</v>
      </c>
      <c r="D6" s="36" t="n">
        <f aca="false">(SUMPRODUCT('FCFE Build'!$B$14:$F$14/(1+$A6)^'DCF Valuation'!$B$5:$F$5)+(('FCFE Build'!$F$14*(1+D$5))/($A6-D$5))/(1+$A6)^5)/Assumptions!$B$57</f>
        <v>838.440331778109</v>
      </c>
      <c r="E6" s="36" t="n">
        <f aca="false">(SUMPRODUCT('FCFE Build'!$B$14:$F$14/(1+$A6)^'DCF Valuation'!$B$5:$F$5)+(('FCFE Build'!$F$14*(1+E$5))/($A6-E$5))/(1+$A6)^5)/Assumptions!$B$57</f>
        <v>900.314257289379</v>
      </c>
      <c r="F6" s="36" t="n">
        <f aca="false">(SUMPRODUCT('FCFE Build'!$B$14:$F$14/(1+$A6)^'DCF Valuation'!$B$5:$F$5)+(('FCFE Build'!$F$14*(1+F$5))/($A6-F$5))/(1+$A6)^5)/Assumptions!$B$57</f>
        <v>974.562967902901</v>
      </c>
      <c r="G6" s="36" t="n">
        <f aca="false">(SUMPRODUCT('FCFE Build'!$B$14:$F$14/(1+$A6)^'DCF Valuation'!$B$5:$F$5)+(('FCFE Build'!$F$14*(1+G$5))/($A6-G$5))/(1+$A6)^5)/Assumptions!$B$57</f>
        <v>1065.3113919861</v>
      </c>
    </row>
    <row r="7" customFormat="false" ht="15" hidden="false" customHeight="true" outlineLevel="0" collapsed="false">
      <c r="A7" s="35" t="n">
        <v>0.095</v>
      </c>
      <c r="B7" s="36" t="n">
        <f aca="false">(SUMPRODUCT('FCFE Build'!$B$14:$F$14/(1+$A7)^'DCF Valuation'!$B$5:$F$5)+(('FCFE Build'!$F$14*(1+B$5))/($A7-B$5))/(1+$A7)^5)/Assumptions!$B$57</f>
        <v>646.332003649537</v>
      </c>
      <c r="C7" s="36" t="n">
        <f aca="false">(SUMPRODUCT('FCFE Build'!$B$14:$F$14/(1+$A7)^'DCF Valuation'!$B$5:$F$5)+(('FCFE Build'!$F$14*(1+C$5))/($A7-C$5))/(1+$A7)^5)/Assumptions!$B$57</f>
        <v>679.136459307797</v>
      </c>
      <c r="D7" s="36" t="n">
        <f aca="false">(SUMPRODUCT('FCFE Build'!$B$14:$F$14/(1+$A7)^'DCF Valuation'!$B$5:$F$5)+(('FCFE Build'!$F$14*(1+D$5))/($A7-D$5))/(1+$A7)^5)/Assumptions!$B$57</f>
        <v>716.627265774378</v>
      </c>
      <c r="E7" s="36" t="n">
        <f aca="false">(SUMPRODUCT('FCFE Build'!$B$14:$F$14/(1+$A7)^'DCF Valuation'!$B$5:$F$5)+(('FCFE Build'!$F$14*(1+E$5))/($A7-E$5))/(1+$A7)^5)/Assumptions!$B$57</f>
        <v>759.885888620435</v>
      </c>
      <c r="F7" s="36" t="n">
        <f aca="false">(SUMPRODUCT('FCFE Build'!$B$14:$F$14/(1+$A7)^'DCF Valuation'!$B$5:$F$5)+(('FCFE Build'!$F$14*(1+F$5))/($A7-F$5))/(1+$A7)^5)/Assumptions!$B$57</f>
        <v>810.354281940833</v>
      </c>
      <c r="G7" s="36" t="n">
        <f aca="false">(SUMPRODUCT('FCFE Build'!$B$14:$F$14/(1+$A7)^'DCF Valuation'!$B$5:$F$5)+(('FCFE Build'!$F$14*(1+G$5))/($A7-G$5))/(1+$A7)^5)/Assumptions!$B$57</f>
        <v>869.998746774032</v>
      </c>
    </row>
    <row r="8" customFormat="false" ht="15" hidden="false" customHeight="true" outlineLevel="0" collapsed="false">
      <c r="A8" s="35" t="n">
        <v>0.105</v>
      </c>
      <c r="B8" s="36" t="n">
        <f aca="false">(SUMPRODUCT('FCFE Build'!$B$14:$F$14/(1+$A8)^'DCF Valuation'!$B$5:$F$5)+(('FCFE Build'!$F$14*(1+B$5))/($A8-B$5))/(1+$A8)^5)/Assumptions!$B$57</f>
        <v>572.603593854921</v>
      </c>
      <c r="C8" s="36" t="n">
        <f aca="false">(SUMPRODUCT('FCFE Build'!$B$14:$F$14/(1+$A8)^'DCF Valuation'!$B$5:$F$5)+(('FCFE Build'!$F$14*(1+C$5))/($A8-C$5))/(1+$A8)^5)/Assumptions!$B$57</f>
        <v>597.41377959034</v>
      </c>
      <c r="D8" s="36" t="n">
        <f aca="false">(SUMPRODUCT('FCFE Build'!$B$14:$F$14/(1+$A8)^'DCF Valuation'!$B$5:$F$5)+(('FCFE Build'!$F$14*(1+D$5))/($A8-D$5))/(1+$A8)^5)/Assumptions!$B$57</f>
        <v>625.325238542687</v>
      </c>
      <c r="E8" s="36" t="n">
        <f aca="false">(SUMPRODUCT('FCFE Build'!$B$14:$F$14/(1+$A8)^'DCF Valuation'!$B$5:$F$5)+(('FCFE Build'!$F$14*(1+E$5))/($A8-E$5))/(1+$A8)^5)/Assumptions!$B$57</f>
        <v>656.958225355348</v>
      </c>
      <c r="F8" s="36" t="n">
        <f aca="false">(SUMPRODUCT('FCFE Build'!$B$14:$F$14/(1+$A8)^'DCF Valuation'!$B$5:$F$5)+(('FCFE Build'!$F$14*(1+F$5))/($A8-F$5))/(1+$A8)^5)/Assumptions!$B$57</f>
        <v>693.110210284102</v>
      </c>
      <c r="G8" s="36" t="n">
        <f aca="false">(SUMPRODUCT('FCFE Build'!$B$14:$F$14/(1+$A8)^'DCF Valuation'!$B$5:$F$5)+(('FCFE Build'!$F$14*(1+G$5))/($A8-G$5))/(1+$A8)^5)/Assumptions!$B$57</f>
        <v>734.82403904805</v>
      </c>
    </row>
    <row r="9" customFormat="false" ht="15" hidden="false" customHeight="true" outlineLevel="0" collapsed="false">
      <c r="A9" s="35" t="n">
        <v>0.108</v>
      </c>
      <c r="B9" s="36" t="n">
        <f aca="false">(SUMPRODUCT('FCFE Build'!$B$14:$F$14/(1+$A9)^'DCF Valuation'!$B$5:$F$5)+(('FCFE Build'!$F$14*(1+B$5))/($A9-B$5))/(1+$A9)^5)/Assumptions!$B$57</f>
        <v>553.58884339078</v>
      </c>
      <c r="C9" s="36" t="n">
        <f aca="false">(SUMPRODUCT('FCFE Build'!$B$14:$F$14/(1+$A9)^'DCF Valuation'!$B$5:$F$5)+(('FCFE Build'!$F$14*(1+C$5))/($A9-C$5))/(1+$A9)^5)/Assumptions!$B$57</f>
        <v>576.530031210109</v>
      </c>
      <c r="D9" s="36" t="n">
        <f aca="false">(SUMPRODUCT('FCFE Build'!$B$14:$F$14/(1+$A9)^'DCF Valuation'!$B$5:$F$5)+(('FCFE Build'!$F$14*(1+D$5))/($A9-D$5))/(1+$A9)^5)/Assumptions!$B$57</f>
        <v>602.235217561888</v>
      </c>
      <c r="E9" s="36" t="n">
        <f aca="false">(SUMPRODUCT('FCFE Build'!$B$14:$F$14/(1+$A9)^'DCF Valuation'!$B$5:$F$5)+(('FCFE Build'!$F$14*(1+E$5))/($A9-E$5))/(1+$A9)^5)/Assumptions!$B$57</f>
        <v>631.235940625433</v>
      </c>
      <c r="F9" s="36" t="n">
        <f aca="false">(SUMPRODUCT('FCFE Build'!$B$14:$F$14/(1+$A9)^'DCF Valuation'!$B$5:$F$5)+(('FCFE Build'!$F$14*(1+F$5))/($A9-F$5))/(1+$A9)^5)/Assumptions!$B$57</f>
        <v>664.209365478505</v>
      </c>
      <c r="G9" s="36" t="n">
        <f aca="false">(SUMPRODUCT('FCFE Build'!$B$14:$F$14/(1+$A9)^'DCF Valuation'!$B$5:$F$5)+(('FCFE Build'!$F$14*(1+G$5))/($A9-G$5))/(1+$A9)^5)/Assumptions!$B$57</f>
        <v>702.031823398205</v>
      </c>
    </row>
    <row r="10" customFormat="false" ht="15" hidden="false" customHeight="true" outlineLevel="0" collapsed="false">
      <c r="A10" s="35" t="n">
        <v>0.115</v>
      </c>
      <c r="B10" s="36" t="n">
        <f aca="false">(SUMPRODUCT('FCFE Build'!$B$14:$F$14/(1+$A10)^'DCF Valuation'!$B$5:$F$5)+(('FCFE Build'!$F$14*(1+B$5))/($A10-B$5))/(1+$A10)^5)/Assumptions!$B$57</f>
        <v>513.677202474178</v>
      </c>
      <c r="C10" s="36" t="n">
        <f aca="false">(SUMPRODUCT('FCFE Build'!$B$14:$F$14/(1+$A10)^'DCF Valuation'!$B$5:$F$5)+(('FCFE Build'!$F$14*(1+C$5))/($A10-C$5))/(1+$A10)^5)/Assumptions!$B$57</f>
        <v>532.948789829198</v>
      </c>
      <c r="D10" s="36" t="n">
        <f aca="false">(SUMPRODUCT('FCFE Build'!$B$14:$F$14/(1+$A10)^'DCF Valuation'!$B$5:$F$5)+(('FCFE Build'!$F$14*(1+D$5))/($A10-D$5))/(1+$A10)^5)/Assumptions!$B$57</f>
        <v>554.36166466811</v>
      </c>
      <c r="E10" s="36" t="n">
        <f aca="false">(SUMPRODUCT('FCFE Build'!$B$14:$F$14/(1+$A10)^'DCF Valuation'!$B$5:$F$5)+(('FCFE Build'!$F$14*(1+E$5))/($A10-E$5))/(1+$A10)^5)/Assumptions!$B$57</f>
        <v>578.293701252776</v>
      </c>
      <c r="F10" s="36" t="n">
        <f aca="false">(SUMPRODUCT('FCFE Build'!$B$14:$F$14/(1+$A10)^'DCF Valuation'!$B$5:$F$5)+(('FCFE Build'!$F$14*(1+F$5))/($A10-F$5))/(1+$A10)^5)/Assumptions!$B$57</f>
        <v>605.217242410525</v>
      </c>
      <c r="G10" s="36" t="n">
        <f aca="false">(SUMPRODUCT('FCFE Build'!$B$14:$F$14/(1+$A10)^'DCF Valuation'!$B$5:$F$5)+(('FCFE Build'!$F$14*(1+G$5))/($A10-G$5))/(1+$A10)^5)/Assumptions!$B$57</f>
        <v>635.730589055974</v>
      </c>
    </row>
    <row r="11" customFormat="false" ht="15" hidden="false" customHeight="true" outlineLevel="0" collapsed="false">
      <c r="A11" s="35" t="n">
        <v>0.125</v>
      </c>
      <c r="B11" s="36" t="n">
        <f aca="false">(SUMPRODUCT('FCFE Build'!$B$14:$F$14/(1+$A11)^'DCF Valuation'!$B$5:$F$5)+(('FCFE Build'!$F$14*(1+B$5))/($A11-B$5))/(1+$A11)^5)/Assumptions!$B$57</f>
        <v>465.513674419487</v>
      </c>
      <c r="C11" s="36" t="n">
        <f aca="false">(SUMPRODUCT('FCFE Build'!$B$14:$F$14/(1+$A11)^'DCF Valuation'!$B$5:$F$5)+(('FCFE Build'!$F$14*(1+C$5))/($A11-C$5))/(1+$A11)^5)/Assumptions!$B$57</f>
        <v>480.808639462951</v>
      </c>
      <c r="D11" s="36" t="n">
        <f aca="false">(SUMPRODUCT('FCFE Build'!$B$14:$F$14/(1+$A11)^'DCF Valuation'!$B$5:$F$5)+(('FCFE Build'!$F$14*(1+D$5))/($A11-D$5))/(1+$A11)^5)/Assumptions!$B$57</f>
        <v>497.633101010761</v>
      </c>
      <c r="E11" s="36" t="n">
        <f aca="false">(SUMPRODUCT('FCFE Build'!$B$14:$F$14/(1+$A11)^'DCF Valuation'!$B$5:$F$5)+(('FCFE Build'!$F$14*(1+E$5))/($A11-E$5))/(1+$A11)^5)/Assumptions!$B$57</f>
        <v>516.228558510972</v>
      </c>
      <c r="F11" s="36" t="n">
        <f aca="false">(SUMPRODUCT('FCFE Build'!$B$14:$F$14/(1+$A11)^'DCF Valuation'!$B$5:$F$5)+(('FCFE Build'!$F$14*(1+F$5))/($A11-F$5))/(1+$A11)^5)/Assumptions!$B$57</f>
        <v>536.890177955651</v>
      </c>
      <c r="G11" s="36" t="n">
        <f aca="false">(SUMPRODUCT('FCFE Build'!$B$14:$F$14/(1+$A11)^'DCF Valuation'!$B$5:$F$5)+(('FCFE Build'!$F$14*(1+G$5))/($A11-G$5))/(1+$A11)^5)/Assumptions!$B$57</f>
        <v>559.982576158528</v>
      </c>
    </row>
    <row r="13" customFormat="false" ht="15" hidden="false" customHeight="true" outlineLevel="0" collapsed="false">
      <c r="A13" s="21" t="s">
        <v>102</v>
      </c>
      <c r="B13" s="21"/>
      <c r="C13" s="21"/>
      <c r="D13" s="21"/>
      <c r="E13" s="21"/>
      <c r="F13" s="21"/>
      <c r="G13" s="21"/>
      <c r="H13" s="21"/>
    </row>
    <row r="15" customFormat="false" ht="15" hidden="false" customHeight="true" outlineLevel="0" collapsed="false">
      <c r="A15" s="5" t="s">
        <v>103</v>
      </c>
      <c r="B15" s="5"/>
      <c r="C15" s="5"/>
      <c r="D15" s="5"/>
      <c r="E15" s="5"/>
      <c r="F15" s="5"/>
      <c r="G15" s="5"/>
      <c r="H15" s="5"/>
    </row>
    <row r="16" customFormat="false" ht="15" hidden="false" customHeight="true" outlineLevel="0" collapsed="false">
      <c r="A16" s="3" t="s">
        <v>104</v>
      </c>
    </row>
    <row r="17" customFormat="false" ht="15" hidden="false" customHeight="true" outlineLevel="0" collapsed="false">
      <c r="B17" s="35" t="n">
        <v>0.015</v>
      </c>
      <c r="C17" s="35" t="n">
        <v>0.02</v>
      </c>
      <c r="D17" s="35" t="n">
        <v>0.025</v>
      </c>
      <c r="E17" s="35" t="n">
        <v>0.03</v>
      </c>
      <c r="F17" s="35" t="n">
        <v>0.035</v>
      </c>
      <c r="G17" s="35" t="n">
        <v>0.04</v>
      </c>
    </row>
    <row r="18" customFormat="false" ht="15" hidden="false" customHeight="true" outlineLevel="0" collapsed="false">
      <c r="A18" s="7" t="s">
        <v>105</v>
      </c>
      <c r="B18" s="36" t="n">
        <f aca="false">(SUMPRODUCT('FCFE Build'!$B$14:$F$14/(1.108)^'DCF Valuation'!$B$5:$F$5)+(('FCFE Build'!$F$14*(1+B17))/(0.108-B17))/(1.108)^5)/Assumptions!$B$57</f>
        <v>553.58884339078</v>
      </c>
      <c r="C18" s="36" t="n">
        <f aca="false">(SUMPRODUCT('FCFE Build'!$B$14:$F$14/(1.108)^'DCF Valuation'!$B$5:$F$5)+(('FCFE Build'!$F$14*(1+C17))/(0.108-C17))/(1.108)^5)/Assumptions!$B$57</f>
        <v>576.530031210109</v>
      </c>
      <c r="D18" s="36" t="n">
        <f aca="false">(SUMPRODUCT('FCFE Build'!$B$14:$F$14/(1.108)^'DCF Valuation'!$B$5:$F$5)+(('FCFE Build'!$F$14*(1+D17))/(0.108-D17))/(1.108)^5)/Assumptions!$B$57</f>
        <v>602.235217561888</v>
      </c>
      <c r="E18" s="36" t="n">
        <f aca="false">(SUMPRODUCT('FCFE Build'!$B$14:$F$14/(1.108)^'DCF Valuation'!$B$5:$F$5)+(('FCFE Build'!$F$14*(1+E17))/(0.108-E17))/(1.108)^5)/Assumptions!$B$57</f>
        <v>631.235940625433</v>
      </c>
      <c r="F18" s="36" t="n">
        <f aca="false">(SUMPRODUCT('FCFE Build'!$B$14:$F$14/(1.108)^'DCF Valuation'!$B$5:$F$5)+(('FCFE Build'!$F$14*(1+F17))/(0.108-F17))/(1.108)^5)/Assumptions!$B$57</f>
        <v>664.209365478505</v>
      </c>
      <c r="G18" s="36" t="n">
        <f aca="false">(SUMPRODUCT('FCFE Build'!$B$14:$F$14/(1.108)^'DCF Valuation'!$B$5:$F$5)+(('FCFE Build'!$F$14*(1+G17))/(0.108-G17))/(1.108)^5)/Assumptions!$B$57</f>
        <v>702.031823398205</v>
      </c>
    </row>
    <row r="20" customFormat="false" ht="15" hidden="false" customHeight="true" outlineLevel="0" collapsed="false">
      <c r="A20" s="3" t="s">
        <v>106</v>
      </c>
    </row>
    <row r="21" customFormat="false" ht="15" hidden="false" customHeight="true" outlineLevel="0" collapsed="false">
      <c r="B21" s="35" t="n">
        <v>0.085</v>
      </c>
      <c r="C21" s="35" t="n">
        <v>0.095</v>
      </c>
      <c r="D21" s="35" t="n">
        <v>0.105</v>
      </c>
      <c r="E21" s="35" t="n">
        <v>0.115</v>
      </c>
      <c r="F21" s="35" t="n">
        <v>0.125</v>
      </c>
      <c r="G21" s="35" t="n">
        <v>0.135</v>
      </c>
    </row>
    <row r="22" customFormat="false" ht="15" hidden="false" customHeight="true" outlineLevel="0" collapsed="false">
      <c r="A22" s="7" t="s">
        <v>105</v>
      </c>
      <c r="B22" s="36" t="n">
        <f aca="false">(SUMPRODUCT('FCFE Build'!$B$14:$F$14/(1+B21)^'DCF Valuation'!$B$5:$F$5)+(('FCFE Build'!$F$14*1.03)/(B21-0.03))/(1+B21)^5)/Assumptions!$B$57</f>
        <v>900.314257289379</v>
      </c>
      <c r="C22" s="36" t="n">
        <f aca="false">(SUMPRODUCT('FCFE Build'!$B$14:$F$14/(1+C21)^'DCF Valuation'!$B$5:$F$5)+(('FCFE Build'!$F$14*1.03)/(C21-0.03))/(1+C21)^5)/Assumptions!$B$57</f>
        <v>759.885888620435</v>
      </c>
      <c r="D22" s="36" t="n">
        <f aca="false">(SUMPRODUCT('FCFE Build'!$B$14:$F$14/(1+D21)^'DCF Valuation'!$B$5:$F$5)+(('FCFE Build'!$F$14*1.03)/(D21-0.03))/(1+D21)^5)/Assumptions!$B$57</f>
        <v>656.958225355348</v>
      </c>
      <c r="E22" s="36" t="n">
        <f aca="false">(SUMPRODUCT('FCFE Build'!$B$14:$F$14/(1+E21)^'DCF Valuation'!$B$5:$F$5)+(('FCFE Build'!$F$14*1.03)/(E21-0.03))/(1+E21)^5)/Assumptions!$B$57</f>
        <v>578.293701252776</v>
      </c>
      <c r="F22" s="36" t="n">
        <f aca="false">(SUMPRODUCT('FCFE Build'!$B$14:$F$14/(1+F21)^'DCF Valuation'!$B$5:$F$5)+(('FCFE Build'!$F$14*1.03)/(F21-0.03))/(1+F21)^5)/Assumptions!$B$57</f>
        <v>516.228558510972</v>
      </c>
      <c r="G22" s="36" t="n">
        <f aca="false">(SUMPRODUCT('FCFE Build'!$B$14:$F$14/(1+G21)^'DCF Valuation'!$B$5:$F$5)+(('FCFE Build'!$F$14*1.03)/(G21-0.03))/(1+G21)^5)/Assumptions!$B$57</f>
        <v>466.018647814911</v>
      </c>
    </row>
    <row r="24" customFormat="false" ht="15" hidden="false" customHeight="true" outlineLevel="0" collapsed="false">
      <c r="A24" s="21" t="s">
        <v>107</v>
      </c>
      <c r="B24" s="21"/>
      <c r="C24" s="21"/>
      <c r="D24" s="21"/>
      <c r="E24" s="21"/>
      <c r="F24" s="21"/>
      <c r="G24" s="21"/>
      <c r="H24" s="21"/>
    </row>
    <row r="25" customFormat="false" ht="15" hidden="false" customHeight="true" outlineLevel="0" collapsed="false">
      <c r="A25" s="21" t="s">
        <v>108</v>
      </c>
      <c r="B25" s="21"/>
      <c r="C25" s="21"/>
      <c r="D25" s="21"/>
      <c r="E25" s="21"/>
      <c r="F25" s="21"/>
      <c r="G25" s="21"/>
      <c r="H25" s="21"/>
    </row>
    <row r="26" customFormat="false" ht="15" hidden="false" customHeight="true" outlineLevel="0" collapsed="false">
      <c r="A26" s="21" t="s">
        <v>109</v>
      </c>
      <c r="B26" s="21"/>
      <c r="C26" s="21"/>
      <c r="D26" s="21"/>
      <c r="E26" s="21"/>
      <c r="F26" s="21"/>
      <c r="G26" s="21"/>
      <c r="H26" s="21"/>
    </row>
    <row r="27" customFormat="false" ht="15" hidden="false" customHeight="true" outlineLevel="0" collapsed="false">
      <c r="A27" s="21" t="s">
        <v>110</v>
      </c>
      <c r="B27" s="21"/>
      <c r="C27" s="21"/>
      <c r="D27" s="21"/>
      <c r="E27" s="21"/>
      <c r="F27" s="21"/>
      <c r="G27" s="21"/>
      <c r="H27" s="21"/>
    </row>
    <row r="28" customFormat="false" ht="15" hidden="false" customHeight="true" outlineLevel="0" collapsed="false">
      <c r="A28" s="21" t="s">
        <v>111</v>
      </c>
      <c r="B28" s="21"/>
      <c r="C28" s="21"/>
      <c r="D28" s="21"/>
      <c r="E28" s="21"/>
      <c r="F28" s="21"/>
      <c r="G28" s="21"/>
      <c r="H28" s="21"/>
    </row>
  </sheetData>
  <mergeCells count="9">
    <mergeCell ref="A1:I1"/>
    <mergeCell ref="A3:H3"/>
    <mergeCell ref="A13:H13"/>
    <mergeCell ref="A15:H15"/>
    <mergeCell ref="A24:H24"/>
    <mergeCell ref="A25:H25"/>
    <mergeCell ref="A26:H26"/>
    <mergeCell ref="A27:H27"/>
    <mergeCell ref="A28:H28"/>
  </mergeCells>
  <conditionalFormatting sqref="B6:G1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7" min="2" style="1" width="11"/>
  </cols>
  <sheetData>
    <row r="1" customFormat="false" ht="27.75" hidden="false" customHeight="true" outlineLevel="0" collapsed="false">
      <c r="A1" s="2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customFormat="false" ht="15" hidden="false" customHeight="true" outlineLevel="0" collapsed="false">
      <c r="B3" s="37" t="s">
        <v>113</v>
      </c>
      <c r="C3" s="37"/>
      <c r="D3" s="37"/>
      <c r="E3" s="37"/>
      <c r="F3" s="37"/>
      <c r="H3" s="38" t="s">
        <v>114</v>
      </c>
      <c r="I3" s="38"/>
      <c r="J3" s="38"/>
      <c r="K3" s="38"/>
      <c r="L3" s="38"/>
      <c r="N3" s="39" t="s">
        <v>115</v>
      </c>
      <c r="O3" s="39"/>
      <c r="P3" s="39"/>
      <c r="Q3" s="39"/>
      <c r="R3" s="39"/>
    </row>
    <row r="4" customFormat="false" ht="15" hidden="false" customHeight="true" outlineLevel="0" collapsed="false">
      <c r="B4" s="40" t="s">
        <v>5</v>
      </c>
      <c r="C4" s="40" t="s">
        <v>6</v>
      </c>
      <c r="D4" s="40" t="s">
        <v>7</v>
      </c>
      <c r="E4" s="40" t="s">
        <v>8</v>
      </c>
      <c r="F4" s="40" t="s">
        <v>9</v>
      </c>
      <c r="H4" s="40" t="s">
        <v>5</v>
      </c>
      <c r="I4" s="40" t="s">
        <v>6</v>
      </c>
      <c r="J4" s="40" t="s">
        <v>7</v>
      </c>
      <c r="K4" s="40" t="s">
        <v>8</v>
      </c>
      <c r="L4" s="40" t="s">
        <v>9</v>
      </c>
      <c r="N4" s="40" t="s">
        <v>5</v>
      </c>
      <c r="O4" s="40" t="s">
        <v>6</v>
      </c>
      <c r="P4" s="40" t="s">
        <v>7</v>
      </c>
      <c r="Q4" s="40" t="s">
        <v>8</v>
      </c>
      <c r="R4" s="40" t="s">
        <v>9</v>
      </c>
    </row>
    <row r="6" customFormat="false" ht="15" hidden="false" customHeight="true" outlineLevel="0" collapsed="false">
      <c r="A6" s="41" t="s">
        <v>116</v>
      </c>
      <c r="B6" s="42" t="n">
        <f aca="false">Assumptions!$B$60*(1+Assumptions!B7)</f>
        <v>56531.6</v>
      </c>
      <c r="C6" s="42" t="n">
        <f aca="false">B6*(1+Assumptions!C7)</f>
        <v>57096.916</v>
      </c>
      <c r="D6" s="42" t="n">
        <f aca="false">C6*(1+Assumptions!D7)</f>
        <v>58238.85432</v>
      </c>
      <c r="E6" s="42" t="n">
        <f aca="false">D6*(1+Assumptions!E7)</f>
        <v>59403.6314064</v>
      </c>
      <c r="F6" s="42" t="n">
        <f aca="false">E6*(1+Assumptions!F7)</f>
        <v>60591.704034528</v>
      </c>
      <c r="H6" s="42" t="n">
        <f aca="false">Assumptions!$B$60*(1+Assumptions!B17)</f>
        <v>61776.8</v>
      </c>
      <c r="I6" s="42" t="n">
        <f aca="false">H6*(1+Assumptions!C17)</f>
        <v>64865.64</v>
      </c>
      <c r="J6" s="42" t="n">
        <f aca="false">I6*(1+Assumptions!D17)</f>
        <v>68108.922</v>
      </c>
      <c r="K6" s="42" t="n">
        <f aca="false">J6*(1+Assumptions!E17)</f>
        <v>71173.82349</v>
      </c>
      <c r="L6" s="42" t="n">
        <f aca="false">K6*(1+Assumptions!F17)</f>
        <v>74376.64554705</v>
      </c>
      <c r="N6" s="42" t="n">
        <f aca="false">Assumptions!$B$60*(1+Assumptions!B27)</f>
        <v>64690.8</v>
      </c>
      <c r="O6" s="42" t="n">
        <f aca="false">N6*(1+Assumptions!C27)</f>
        <v>70512.972</v>
      </c>
      <c r="P6" s="42" t="n">
        <f aca="false">O6*(1+Assumptions!D27)</f>
        <v>76154.00976</v>
      </c>
      <c r="Q6" s="42" t="n">
        <f aca="false">P6*(1+Assumptions!E27)</f>
        <v>81484.7904432</v>
      </c>
      <c r="R6" s="42" t="n">
        <f aca="false">Q6*(1+Assumptions!F27)</f>
        <v>86781.301822008</v>
      </c>
    </row>
    <row r="7" customFormat="false" ht="15" hidden="false" customHeight="true" outlineLevel="0" collapsed="false">
      <c r="A7" s="41" t="s">
        <v>117</v>
      </c>
      <c r="B7" s="42" t="n">
        <f aca="false">(B6*(1-Assumptions!B8))*(1-Assumptions!$B$9)-Assumptions!$B$53</f>
        <v>13029.38624</v>
      </c>
      <c r="C7" s="42" t="n">
        <f aca="false">(C6*(1-Assumptions!C8))*(1-Assumptions!$B$9)-Assumptions!$B$53</f>
        <v>13608.3263556</v>
      </c>
      <c r="D7" s="42" t="n">
        <f aca="false">(D6*(1-Assumptions!D8))*(1-Assumptions!$B$9)-Assumptions!$B$53</f>
        <v>14346.932060976</v>
      </c>
      <c r="E7" s="42" t="n">
        <f aca="false">(E6*(1-Assumptions!E8))*(1-Assumptions!$B$9)-Assumptions!$B$53</f>
        <v>14651.8707021955</v>
      </c>
      <c r="F7" s="42" t="n">
        <f aca="false">(F6*(1-Assumptions!F8))*(1-Assumptions!$B$9)-Assumptions!$B$53</f>
        <v>14962.9081162394</v>
      </c>
      <c r="H7" s="42" t="n">
        <f aca="false">(H6*(1-Assumptions!B18))*(1-Assumptions!$B$19)-Assumptions!$B$53</f>
        <v>16928.78448</v>
      </c>
      <c r="I7" s="42" t="n">
        <f aca="false">(I6*(1-Assumptions!C18))*(1-Assumptions!$B$19)-Assumptions!$B$53</f>
        <v>18326.175696</v>
      </c>
      <c r="J7" s="42" t="n">
        <f aca="false">(J6*(1-Assumptions!D18))*(1-Assumptions!$B$19)-Assumptions!$B$53</f>
        <v>19553.1092766</v>
      </c>
      <c r="K7" s="42" t="n">
        <f aca="false">(K6*(1-Assumptions!E18))*(1-Assumptions!$B$19)-Assumptions!$B$53</f>
        <v>20751.077105658</v>
      </c>
      <c r="L7" s="42" t="n">
        <f aca="false">(L6*(1-Assumptions!F18))*(1-Assumptions!$B$19)-Assumptions!$B$53</f>
        <v>21725.3755754126</v>
      </c>
      <c r="N7" s="42" t="n">
        <f aca="false">(N6*(1-Assumptions!B28))*(1-Assumptions!$B$29)-Assumptions!$B$53</f>
        <v>19542.2928</v>
      </c>
      <c r="O7" s="42" t="n">
        <f aca="false">(O6*(1-Assumptions!C28))*(1-Assumptions!$B$29)-Assumptions!$B$53</f>
        <v>22217.6778702</v>
      </c>
      <c r="P7" s="42" t="n">
        <f aca="false">(P6*(1-Assumptions!D28))*(1-Assumptions!$B$29)-Assumptions!$B$53</f>
        <v>24668.70877692</v>
      </c>
      <c r="Q7" s="42" t="n">
        <f aca="false">(Q6*(1-Assumptions!E28))*(1-Assumptions!$B$29)-Assumptions!$B$53</f>
        <v>26780.3833135551</v>
      </c>
      <c r="R7" s="42" t="n">
        <f aca="false">(R6*(1-Assumptions!F28))*(1-Assumptions!$B$29)-Assumptions!$B$53</f>
        <v>28922.3943711331</v>
      </c>
    </row>
    <row r="8" customFormat="false" ht="15" hidden="false" customHeight="true" outlineLevel="0" collapsed="false">
      <c r="A8" s="41" t="s">
        <v>118</v>
      </c>
      <c r="B8" s="42" t="n">
        <f aca="false">Assumptions!$B$59</f>
        <v>107494.6</v>
      </c>
      <c r="C8" s="42" t="n">
        <f aca="false">B8*(1+Assumptions!$B$11)</f>
        <v>109644.492</v>
      </c>
      <c r="D8" s="42" t="n">
        <f aca="false">C8*(1+Assumptions!$B$11)</f>
        <v>111837.38184</v>
      </c>
      <c r="E8" s="42" t="n">
        <f aca="false">D8*(1+Assumptions!$B$11)</f>
        <v>114074.1294768</v>
      </c>
      <c r="F8" s="42" t="n">
        <f aca="false">E8*(1+Assumptions!$B$11)</f>
        <v>116355.612066336</v>
      </c>
      <c r="H8" s="42" t="n">
        <f aca="false">Assumptions!$B$59</f>
        <v>107494.6</v>
      </c>
      <c r="I8" s="42" t="n">
        <f aca="false">H8*(1+Assumptions!$B$21)</f>
        <v>111794.384</v>
      </c>
      <c r="J8" s="42" t="n">
        <f aca="false">I8*(1+Assumptions!$B$21)</f>
        <v>116266.15936</v>
      </c>
      <c r="K8" s="42" t="n">
        <f aca="false">J8*(1+Assumptions!$B$21)</f>
        <v>120916.8057344</v>
      </c>
      <c r="L8" s="42" t="n">
        <f aca="false">K8*(1+Assumptions!$B$21)</f>
        <v>125753.477963776</v>
      </c>
      <c r="N8" s="42" t="n">
        <f aca="false">Assumptions!$B$59</f>
        <v>107494.6</v>
      </c>
      <c r="O8" s="42" t="n">
        <f aca="false">N8*(1+Assumptions!$B$31)</f>
        <v>113944.276</v>
      </c>
      <c r="P8" s="42" t="n">
        <f aca="false">O8*(1+Assumptions!$B$31)</f>
        <v>120780.93256</v>
      </c>
      <c r="Q8" s="42" t="n">
        <f aca="false">P8*(1+Assumptions!$B$31)</f>
        <v>128027.7885136</v>
      </c>
      <c r="R8" s="42" t="n">
        <f aca="false">Q8*(1+Assumptions!$B$31)</f>
        <v>135709.455824416</v>
      </c>
    </row>
    <row r="9" customFormat="false" ht="15" hidden="false" customHeight="true" outlineLevel="0" collapsed="false">
      <c r="A9" s="41" t="s">
        <v>119</v>
      </c>
      <c r="B9" s="42" t="n">
        <f aca="false">B8*Assumptions!$B$11</f>
        <v>2149.892</v>
      </c>
      <c r="C9" s="42" t="n">
        <f aca="false">C8*Assumptions!$B$11</f>
        <v>2192.88984</v>
      </c>
      <c r="D9" s="42" t="n">
        <f aca="false">D8*Assumptions!$B$11</f>
        <v>2236.7476368</v>
      </c>
      <c r="E9" s="42" t="n">
        <f aca="false">E8*Assumptions!$B$11</f>
        <v>2281.482589536</v>
      </c>
      <c r="F9" s="42" t="n">
        <f aca="false">F8*Assumptions!$B$11</f>
        <v>2327.11224132672</v>
      </c>
      <c r="H9" s="42" t="n">
        <f aca="false">H8*Assumptions!$B$21</f>
        <v>4299.784</v>
      </c>
      <c r="I9" s="42" t="n">
        <f aca="false">I8*Assumptions!$B$21</f>
        <v>4471.77536</v>
      </c>
      <c r="J9" s="42" t="n">
        <f aca="false">J8*Assumptions!$B$21</f>
        <v>4650.6463744</v>
      </c>
      <c r="K9" s="42" t="n">
        <f aca="false">K8*Assumptions!$B$21</f>
        <v>4836.672229376</v>
      </c>
      <c r="L9" s="42" t="n">
        <f aca="false">L8*Assumptions!$B$21</f>
        <v>5030.13911855104</v>
      </c>
      <c r="N9" s="42" t="n">
        <f aca="false">N8*Assumptions!$B$31</f>
        <v>6449.676</v>
      </c>
      <c r="O9" s="42" t="n">
        <f aca="false">O8*Assumptions!$B$31</f>
        <v>6836.65656</v>
      </c>
      <c r="P9" s="42" t="n">
        <f aca="false">P8*Assumptions!$B$31</f>
        <v>7246.8559536</v>
      </c>
      <c r="Q9" s="42" t="n">
        <f aca="false">Q8*Assumptions!$B$31</f>
        <v>7681.667310816</v>
      </c>
      <c r="R9" s="42" t="n">
        <f aca="false">R8*Assumptions!$B$31</f>
        <v>8142.56734946496</v>
      </c>
    </row>
    <row r="10" customFormat="false" ht="15" hidden="false" customHeight="true" outlineLevel="0" collapsed="false">
      <c r="A10" s="3" t="s">
        <v>120</v>
      </c>
      <c r="B10" s="26" t="n">
        <f aca="false">B7-B9</f>
        <v>10879.49424</v>
      </c>
      <c r="C10" s="26" t="n">
        <f aca="false">C7-C9</f>
        <v>11415.4365156</v>
      </c>
      <c r="D10" s="26" t="n">
        <f aca="false">D7-D9</f>
        <v>12110.184424176</v>
      </c>
      <c r="E10" s="26" t="n">
        <f aca="false">E7-E9</f>
        <v>12370.3881126595</v>
      </c>
      <c r="F10" s="26" t="n">
        <f aca="false">F7-F9</f>
        <v>12635.7958749127</v>
      </c>
      <c r="H10" s="26" t="n">
        <f aca="false">H7-H9</f>
        <v>12629.00048</v>
      </c>
      <c r="I10" s="26" t="n">
        <f aca="false">I7-I9</f>
        <v>13854.400336</v>
      </c>
      <c r="J10" s="26" t="n">
        <f aca="false">J7-J9</f>
        <v>14902.4629022</v>
      </c>
      <c r="K10" s="26" t="n">
        <f aca="false">K7-K9</f>
        <v>15914.404876282</v>
      </c>
      <c r="L10" s="26" t="n">
        <f aca="false">L7-L9</f>
        <v>16695.2364568616</v>
      </c>
      <c r="N10" s="26" t="n">
        <f aca="false">N7-N9</f>
        <v>13092.6168</v>
      </c>
      <c r="O10" s="26" t="n">
        <f aca="false">O7-O9</f>
        <v>15381.0213102</v>
      </c>
      <c r="P10" s="26" t="n">
        <f aca="false">P7-P9</f>
        <v>17421.85282332</v>
      </c>
      <c r="Q10" s="26" t="n">
        <f aca="false">Q7-Q9</f>
        <v>19098.7160027391</v>
      </c>
      <c r="R10" s="26" t="n">
        <f aca="false">R7-R9</f>
        <v>20779.8270216681</v>
      </c>
    </row>
    <row r="11" customFormat="false" ht="15" hidden="false" customHeight="true" outlineLevel="0" collapsed="false">
      <c r="A11" s="41" t="s">
        <v>121</v>
      </c>
      <c r="B11" s="43" t="n">
        <f aca="false">1/(1+Assumptions!$B$13)^1</f>
        <v>0.896860986547085</v>
      </c>
      <c r="C11" s="43" t="n">
        <f aca="false">1/(1+Assumptions!$B$13)^2</f>
        <v>0.804359629190211</v>
      </c>
      <c r="D11" s="43" t="n">
        <f aca="false">1/(1+Assumptions!$B$13)^3</f>
        <v>0.72139877057418</v>
      </c>
      <c r="E11" s="43" t="n">
        <f aca="false">1/(1+Assumptions!$B$13)^4</f>
        <v>0.646994413071014</v>
      </c>
      <c r="F11" s="43" t="n">
        <f aca="false">1/(1+Assumptions!$B$13)^5</f>
        <v>0.580264047597322</v>
      </c>
      <c r="H11" s="43" t="n">
        <f aca="false">1/(1+Assumptions!$B$23)^1</f>
        <v>0.902527075812274</v>
      </c>
      <c r="I11" s="43" t="n">
        <f aca="false">1/(1+Assumptions!$B$23)^2</f>
        <v>0.814555122574255</v>
      </c>
      <c r="J11" s="43" t="n">
        <f aca="false">1/(1+Assumptions!$B$23)^3</f>
        <v>0.735158052864851</v>
      </c>
      <c r="K11" s="43" t="n">
        <f aca="false">1/(1+Assumptions!$B$23)^4</f>
        <v>0.663500047711959</v>
      </c>
      <c r="L11" s="43" t="n">
        <f aca="false">1/(1+Assumptions!$B$23)^5</f>
        <v>0.598826757862779</v>
      </c>
      <c r="N11" s="43" t="n">
        <f aca="false">1/(1+Assumptions!$B$33)^1</f>
        <v>0.908265213442325</v>
      </c>
      <c r="O11" s="43" t="n">
        <f aca="false">1/(1+Assumptions!$B$33)^2</f>
        <v>0.824945697949433</v>
      </c>
      <c r="P11" s="43" t="n">
        <f aca="false">1/(1+Assumptions!$B$33)^3</f>
        <v>0.749269480426369</v>
      </c>
      <c r="Q11" s="43" t="n">
        <f aca="false">1/(1+Assumptions!$B$33)^4</f>
        <v>0.680535404565276</v>
      </c>
      <c r="R11" s="43" t="n">
        <f aca="false">1/(1+Assumptions!$B$33)^5</f>
        <v>0.61810663448254</v>
      </c>
    </row>
    <row r="12" customFormat="false" ht="15" hidden="false" customHeight="true" outlineLevel="0" collapsed="false">
      <c r="A12" s="41" t="s">
        <v>122</v>
      </c>
      <c r="B12" s="42" t="n">
        <f aca="false">B10*B11</f>
        <v>9757.39393721973</v>
      </c>
      <c r="C12" s="42" t="n">
        <f aca="false">C10*C11</f>
        <v>9182.11628273241</v>
      </c>
      <c r="D12" s="42" t="n">
        <f aca="false">D10*D11</f>
        <v>8736.27215502715</v>
      </c>
      <c r="E12" s="42" t="n">
        <f aca="false">E10*E11</f>
        <v>8003.57199641079</v>
      </c>
      <c r="F12" s="42" t="n">
        <f aca="false">F10*F11</f>
        <v>7332.09805899039</v>
      </c>
      <c r="H12" s="42" t="n">
        <f aca="false">H10*H11</f>
        <v>11398.0148736462</v>
      </c>
      <c r="I12" s="42" t="n">
        <f aca="false">I10*I11</f>
        <v>11285.1727638833</v>
      </c>
      <c r="J12" s="42" t="n">
        <f aca="false">J10*J11</f>
        <v>10955.665610072</v>
      </c>
      <c r="K12" s="42" t="n">
        <f aca="false">K10*K11</f>
        <v>10559.2083947205</v>
      </c>
      <c r="L12" s="42" t="n">
        <f aca="false">L10*L11</f>
        <v>9997.55431921488</v>
      </c>
      <c r="N12" s="42" t="n">
        <f aca="false">N10*N11</f>
        <v>11891.5683923706</v>
      </c>
      <c r="O12" s="42" t="n">
        <f aca="false">O10*O11</f>
        <v>12688.507359918</v>
      </c>
      <c r="P12" s="42" t="n">
        <f aca="false">P10*P11</f>
        <v>13053.6626129937</v>
      </c>
      <c r="Q12" s="42" t="n">
        <f aca="false">Q10*Q11</f>
        <v>12997.3524216013</v>
      </c>
      <c r="R12" s="42" t="n">
        <f aca="false">R10*R11</f>
        <v>12844.1489454926</v>
      </c>
    </row>
    <row r="15" customFormat="false" ht="15" hidden="false" customHeight="true" outlineLevel="0" collapsed="false">
      <c r="A15" s="44" t="s">
        <v>123</v>
      </c>
    </row>
    <row r="16" customFormat="false" ht="42.75" hidden="false" customHeight="true" outlineLevel="0" collapsed="false">
      <c r="A16" s="45" t="s">
        <v>124</v>
      </c>
      <c r="B16" s="46" t="s">
        <v>125</v>
      </c>
      <c r="C16" s="46" t="s">
        <v>126</v>
      </c>
      <c r="D16" s="46" t="s">
        <v>127</v>
      </c>
      <c r="E16" s="46" t="s">
        <v>66</v>
      </c>
      <c r="F16" s="46" t="s">
        <v>128</v>
      </c>
      <c r="G16" s="46" t="s">
        <v>129</v>
      </c>
    </row>
    <row r="17" customFormat="false" ht="15" hidden="false" customHeight="true" outlineLevel="0" collapsed="false">
      <c r="A17" s="47" t="s">
        <v>130</v>
      </c>
      <c r="B17" s="18" t="n">
        <f aca="false">SUM(B12:F12)</f>
        <v>43011.4524303805</v>
      </c>
      <c r="C17" s="18" t="n">
        <f aca="false">F10*(1+Assumptions!$B$12)/(Assumptions!$B$13-Assumptions!$B$12)</f>
        <v>135668.545183273</v>
      </c>
      <c r="D17" s="18" t="n">
        <f aca="false">C17*F11</f>
        <v>78723.5791596863</v>
      </c>
      <c r="E17" s="26" t="n">
        <f aca="false">B17+D17</f>
        <v>121735.031590067</v>
      </c>
      <c r="F17" s="48" t="n">
        <f aca="false">E17/Assumptions!$B$57</f>
        <v>412.661124034125</v>
      </c>
      <c r="G17" s="13" t="n">
        <f aca="false">F17/Assumptions!$B$56-1</f>
        <v>-0.596265446934161</v>
      </c>
    </row>
    <row r="18" customFormat="false" ht="15" hidden="false" customHeight="true" outlineLevel="0" collapsed="false">
      <c r="A18" s="49" t="s">
        <v>2</v>
      </c>
      <c r="B18" s="18" t="n">
        <f aca="false">SUM(H12:L12)</f>
        <v>54195.6159615369</v>
      </c>
      <c r="C18" s="18" t="n">
        <f aca="false">L10*(1+Assumptions!$B$22)/(Assumptions!$B$23-Assumptions!$B$22)</f>
        <v>220462.737827787</v>
      </c>
      <c r="D18" s="18" t="n">
        <f aca="false">C18*L11</f>
        <v>132018.986522966</v>
      </c>
      <c r="E18" s="26" t="n">
        <f aca="false">B18+D18</f>
        <v>186214.602484503</v>
      </c>
      <c r="F18" s="48" t="n">
        <f aca="false">E18/Assumptions!$B$57</f>
        <v>631.235940625433</v>
      </c>
      <c r="G18" s="13" t="n">
        <f aca="false">F18/Assumptions!$B$56-1</f>
        <v>-0.382418780145549</v>
      </c>
    </row>
    <row r="19" customFormat="false" ht="15" hidden="false" customHeight="true" outlineLevel="0" collapsed="false">
      <c r="A19" s="50" t="s">
        <v>131</v>
      </c>
      <c r="B19" s="18" t="n">
        <f aca="false">SUM(N12:R12)</f>
        <v>63475.2397323762</v>
      </c>
      <c r="C19" s="18" t="n">
        <f aca="false">R10*(1+Assumptions!$B$32)/(Assumptions!$B$33-Assumptions!$B$32)</f>
        <v>325865.469203431</v>
      </c>
      <c r="D19" s="18" t="n">
        <f aca="false">C19*R11</f>
        <v>201419.608463407</v>
      </c>
      <c r="E19" s="26" t="n">
        <f aca="false">B19+D19</f>
        <v>264894.848195783</v>
      </c>
      <c r="F19" s="48" t="n">
        <f aca="false">E19/Assumptions!$B$57</f>
        <v>897.948637951807</v>
      </c>
      <c r="G19" s="13" t="n">
        <f aca="false">F19/Assumptions!$B$56-1</f>
        <v>-0.121475537905111</v>
      </c>
    </row>
    <row r="22" customFormat="false" ht="15" hidden="false" customHeight="true" outlineLevel="0" collapsed="false">
      <c r="A22" s="21" t="s">
        <v>132</v>
      </c>
      <c r="B22" s="21"/>
      <c r="C22" s="21"/>
      <c r="D22" s="21"/>
      <c r="E22" s="21"/>
      <c r="F22" s="21"/>
      <c r="G22" s="21"/>
      <c r="H22" s="21"/>
      <c r="I22" s="21"/>
      <c r="J22" s="21"/>
    </row>
    <row r="23" customFormat="false" ht="15" hidden="false" customHeight="true" outlineLevel="0" collapsed="false">
      <c r="A23" s="21" t="s">
        <v>133</v>
      </c>
      <c r="B23" s="21"/>
      <c r="C23" s="21"/>
      <c r="D23" s="21"/>
      <c r="E23" s="21"/>
      <c r="F23" s="21"/>
      <c r="G23" s="21"/>
      <c r="H23" s="21"/>
      <c r="I23" s="21"/>
      <c r="J23" s="21"/>
    </row>
    <row r="24" customFormat="false" ht="15" hidden="false" customHeight="true" outlineLevel="0" collapsed="false">
      <c r="A24" s="21" t="s">
        <v>134</v>
      </c>
      <c r="B24" s="21"/>
      <c r="C24" s="21"/>
      <c r="D24" s="21"/>
      <c r="E24" s="21"/>
      <c r="F24" s="21"/>
      <c r="G24" s="21"/>
      <c r="H24" s="21"/>
      <c r="I24" s="21"/>
      <c r="J24" s="21"/>
    </row>
    <row r="25" customFormat="false" ht="15" hidden="false" customHeight="true" outlineLevel="0" collapsed="false">
      <c r="A25" s="21" t="s">
        <v>135</v>
      </c>
      <c r="B25" s="21"/>
      <c r="C25" s="21"/>
      <c r="D25" s="21"/>
      <c r="E25" s="21"/>
      <c r="F25" s="21"/>
      <c r="G25" s="21"/>
      <c r="H25" s="21"/>
      <c r="I25" s="21"/>
      <c r="J25" s="21"/>
    </row>
  </sheetData>
  <mergeCells count="8">
    <mergeCell ref="A1:Q1"/>
    <mergeCell ref="B3:F3"/>
    <mergeCell ref="H3:L3"/>
    <mergeCell ref="N3:R3"/>
    <mergeCell ref="A22:J22"/>
    <mergeCell ref="A23:J23"/>
    <mergeCell ref="A24:J24"/>
    <mergeCell ref="A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80"/>
  </cols>
  <sheetData>
    <row r="1" customFormat="false" ht="17.35" hidden="false" customHeight="false" outlineLevel="0" collapsed="false">
      <c r="A1" s="51" t="s">
        <v>136</v>
      </c>
      <c r="B1" s="51"/>
    </row>
    <row r="3" customFormat="false" ht="27.75" hidden="false" customHeight="true" outlineLevel="0" collapsed="false">
      <c r="A3" s="52" t="s">
        <v>137</v>
      </c>
      <c r="B3" s="53" t="s">
        <v>138</v>
      </c>
    </row>
    <row r="4" customFormat="false" ht="27.75" hidden="false" customHeight="true" outlineLevel="0" collapsed="false">
      <c r="A4" s="52" t="s">
        <v>139</v>
      </c>
      <c r="B4" s="53" t="s">
        <v>140</v>
      </c>
    </row>
    <row r="5" customFormat="false" ht="27.75" hidden="false" customHeight="true" outlineLevel="0" collapsed="false">
      <c r="A5" s="52" t="s">
        <v>141</v>
      </c>
      <c r="B5" s="53" t="s">
        <v>142</v>
      </c>
    </row>
    <row r="6" customFormat="false" ht="27.75" hidden="false" customHeight="true" outlineLevel="0" collapsed="false">
      <c r="A6" s="52" t="s">
        <v>143</v>
      </c>
      <c r="B6" s="53" t="s">
        <v>144</v>
      </c>
    </row>
    <row r="7" customFormat="false" ht="27.75" hidden="false" customHeight="true" outlineLevel="0" collapsed="false">
      <c r="A7" s="52" t="s">
        <v>145</v>
      </c>
      <c r="B7" s="53" t="s">
        <v>146</v>
      </c>
    </row>
    <row r="8" customFormat="false" ht="27.75" hidden="false" customHeight="true" outlineLevel="0" collapsed="false">
      <c r="A8" s="52" t="s">
        <v>147</v>
      </c>
      <c r="B8" s="53" t="s">
        <v>148</v>
      </c>
    </row>
    <row r="9" customFormat="false" ht="27.75" hidden="false" customHeight="true" outlineLevel="0" collapsed="false">
      <c r="A9" s="52" t="s">
        <v>149</v>
      </c>
      <c r="B9" s="53" t="s">
        <v>150</v>
      </c>
    </row>
    <row r="10" customFormat="false" ht="27.75" hidden="false" customHeight="true" outlineLevel="0" collapsed="false">
      <c r="A10" s="52" t="s">
        <v>151</v>
      </c>
      <c r="B10" s="53" t="s">
        <v>152</v>
      </c>
    </row>
    <row r="12" customFormat="false" ht="15" hidden="false" customHeight="true" outlineLevel="0" collapsed="false">
      <c r="A12" s="54" t="s">
        <v>153</v>
      </c>
      <c r="B12" s="54"/>
    </row>
    <row r="13" customFormat="false" ht="15" hidden="false" customHeight="false" outlineLevel="0" collapsed="false">
      <c r="A13" s="54"/>
      <c r="B13" s="54"/>
    </row>
    <row r="14" customFormat="false" ht="15" hidden="false" customHeight="false" outlineLevel="0" collapsed="false">
      <c r="A14" s="54"/>
      <c r="B14" s="54"/>
    </row>
  </sheetData>
  <mergeCells count="2">
    <mergeCell ref="A1:B1"/>
    <mergeCell ref="A12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2026-07-03T20:09:45Z</dcterms:created>
  <dc:creator>openpyxl</dc:creator>
  <dc:description/>
  <dc:language>en-US</dc:language>
  <cp:lastModifiedBy/>
  <dcterms:modified xsi:type="dcterms:W3CDTF">2026-07-03T20:29:47Z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