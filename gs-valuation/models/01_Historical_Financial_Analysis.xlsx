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come Statement" sheetId="2" state="visible" r:id="rId4"/>
    <sheet name="Key Ratios" sheetId="3" state="visible" r:id="rId5"/>
    <sheet name="Per Share &amp; Capital" sheetId="4" state="visible" r:id="rId6"/>
    <sheet name="Segment Analysis" sheetId="5" state="visible" r:id="rId7"/>
    <sheet name="Data Sour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<sst xmlns="http://schemas.openxmlformats.org/spreadsheetml/2006/main" count="194" uniqueCount="137">
  <si>
    <t xml:space="preserve">The Goldman Sachs Group, Inc. (NYSE: GS) — Historical Financial Analysis</t>
  </si>
  <si>
    <t xml:space="preserve">Prepared for</t>
  </si>
  <si>
    <t xml:space="preserve">Corporate Valuation Suite — Portfolio Project</t>
  </si>
  <si>
    <t xml:space="preserve">Sector</t>
  </si>
  <si>
    <t xml:space="preserve">Financials — Global Investment Bank / Diversified Financial Services</t>
  </si>
  <si>
    <t xml:space="preserve">Ticker / Exchange</t>
  </si>
  <si>
    <t xml:space="preserve">GS / NYSE</t>
  </si>
  <si>
    <t xml:space="preserve">Data as-of date</t>
  </si>
  <si>
    <t xml:space="preserve">2026-07-02</t>
  </si>
  <si>
    <t xml:space="preserve">Current Snapshot</t>
  </si>
  <si>
    <t xml:space="preserve">Share price</t>
  </si>
  <si>
    <t xml:space="preserve">52-week range</t>
  </si>
  <si>
    <t xml:space="preserve">$691.30 - $1,125.00</t>
  </si>
  <si>
    <t xml:space="preserve">Diluted shares outstanding (mm)</t>
  </si>
  <si>
    <t xml:space="preserve">Market capitalization ($mm)</t>
  </si>
  <si>
    <t xml:space="preserve">FY2025 Book value / share</t>
  </si>
  <si>
    <t xml:space="preserve">Price / Book (current)</t>
  </si>
  <si>
    <t xml:space="preserve">FY2025 Diluted EPS</t>
  </si>
  <si>
    <t xml:space="preserve">Price / FY25 EPS</t>
  </si>
  <si>
    <t xml:space="preserve">Quarterly dividend</t>
  </si>
  <si>
    <t xml:space="preserve">Indicated annual dividend</t>
  </si>
  <si>
    <t xml:space="preserve">Dividend yield</t>
  </si>
  <si>
    <t xml:space="preserve">Beta (5Y monthly, approx.)</t>
  </si>
  <si>
    <t xml:space="preserve">Contents of this workbook</t>
  </si>
  <si>
    <t xml:space="preserve">Income Statement</t>
  </si>
  <si>
    <t xml:space="preserve">FY2021-FY2025 net revenues, net earnings, EPS, YoY growth</t>
  </si>
  <si>
    <t xml:space="preserve">Key Ratios</t>
  </si>
  <si>
    <t xml:space="preserve">ROE, ROTE, efficiency ratio, EPS growth, margin trends</t>
  </si>
  <si>
    <t xml:space="preserve">Per Share &amp; Capital</t>
  </si>
  <si>
    <t xml:space="preserve">BVPS, dividends, buybacks, shares outstanding walk</t>
  </si>
  <si>
    <t xml:space="preserve">Segment Analysis</t>
  </si>
  <si>
    <t xml:space="preserve">Net revenues by business segment, FY2021-FY2025</t>
  </si>
  <si>
    <t xml:space="preserve">Data Sources</t>
  </si>
  <si>
    <t xml:space="preserve">Full citation list for every hardcoded input</t>
  </si>
  <si>
    <t xml:space="preserve">Note: Market-data fields (price, shares, market cap) are a snapshot as of the as-of date above, compiled from public secondary sources (see Data Sources tab). Secondary aggregators disagree by low single digits depending on exact pull time; refresh from a live terminal before using for live decisions or interviews.</t>
  </si>
  <si>
    <t xml:space="preserve">Historical Income Statement — Summary ($ in millions, except per share)</t>
  </si>
  <si>
    <t xml:space="preserve">($ in millions, except per share data)</t>
  </si>
  <si>
    <t xml:space="preserve">Metric</t>
  </si>
  <si>
    <t xml:space="preserve">2021A</t>
  </si>
  <si>
    <t xml:space="preserve">2022A</t>
  </si>
  <si>
    <t xml:space="preserve">2023A</t>
  </si>
  <si>
    <t xml:space="preserve">2024A</t>
  </si>
  <si>
    <t xml:space="preserve">2025A</t>
  </si>
  <si>
    <t xml:space="preserve">Net revenues</t>
  </si>
  <si>
    <t xml:space="preserve">  % growth YoY</t>
  </si>
  <si>
    <t xml:space="preserve">n/a</t>
  </si>
  <si>
    <t xml:space="preserve">Operating expenses</t>
  </si>
  <si>
    <t xml:space="preserve">n/d</t>
  </si>
  <si>
    <t xml:space="preserve">Pre-tax / operating earnings (Rev - Opex)</t>
  </si>
  <si>
    <t xml:space="preserve">Net earnings</t>
  </si>
  <si>
    <t xml:space="preserve">Less: preferred dividends</t>
  </si>
  <si>
    <t xml:space="preserve">Net earnings applicable to common</t>
  </si>
  <si>
    <t xml:space="preserve">Diluted weighted-average shares (mm)</t>
  </si>
  <si>
    <t xml:space="preserve">Diluted EPS (calculated check)</t>
  </si>
  <si>
    <t xml:space="preserve">Diluted EPS (as reported)</t>
  </si>
  <si>
    <t xml:space="preserve">  EPS growth YoY</t>
  </si>
  <si>
    <t xml:space="preserve">Net margin (Net earnings / Net revenues)</t>
  </si>
  <si>
    <t xml:space="preserve">EPS calc-vs-reported check should equal reported EPS within rounding (diluted share count is a weighted-average estimate; small variance expected).</t>
  </si>
  <si>
    <t xml:space="preserve">5-Year CAGRs (2021A-2025A)</t>
  </si>
  <si>
    <t xml:space="preserve">Net revenues CAGR</t>
  </si>
  <si>
    <t xml:space="preserve">Diluted EPS CAGR</t>
  </si>
  <si>
    <t xml:space="preserve">Key Profitability &amp; Efficiency Ratios, FY2021-FY2025</t>
  </si>
  <si>
    <t xml:space="preserve">Return on average common equity (ROE)</t>
  </si>
  <si>
    <t xml:space="preserve">Return on average tangible common equity (ROTE)</t>
  </si>
  <si>
    <t xml:space="preserve">Efficiency ratio (Opex / Net revenues)</t>
  </si>
  <si>
    <t xml:space="preserve">Book value per share</t>
  </si>
  <si>
    <t xml:space="preserve">  BVPS growth YoY</t>
  </si>
  <si>
    <t xml:space="preserve">ROE decomposition (simplified DuPont)</t>
  </si>
  <si>
    <t xml:space="preserve">Note: full DuPont (asset turnover x leverage) requires average total</t>
  </si>
  <si>
    <t xml:space="preserve">assets/equity detail not broken out in earnings-release summaries; see 10-K</t>
  </si>
  <si>
    <t xml:space="preserve">Note 20 (Capital) for full regulatory-capital ratio detail if extending this model.</t>
  </si>
  <si>
    <t xml:space="preserve">Reading the trend</t>
  </si>
  <si>
    <t xml:space="preserve">2021 was a cyclical peak (record capital-markets activity, ROE 23.0%) — not a representative run-rate.</t>
  </si>
  <si>
    <t xml:space="preserve">2022-2023 show the down-cycle: capital markets activity slowed and the firm absorbed costs tied to the</t>
  </si>
  <si>
    <t xml:space="preserve">unwound consumer strategy (GreenSky, GM Card, Marcus), pushing ROE to 7.5% and efficiency ratio to 74.6% in 2023.</t>
  </si>
  <si>
    <t xml:space="preserve">2024-2025 show a clean re-acceleration: ROE recovered to 12.7% then 15.0%, roughly back to the firm's</t>
  </si>
  <si>
    <t xml:space="preserve">through-cycle 14-16% target band, on Global Banking &amp; Markets strength and a narrower consumer footprint.</t>
  </si>
  <si>
    <t xml:space="preserve">Per-Share Metrics, Capital Return &amp; Share Count, FY2021-FY2025</t>
  </si>
  <si>
    <t xml:space="preserve">Diluted EPS</t>
  </si>
  <si>
    <t xml:space="preserve">Diluted weighted-avg shares outstanding (mm)</t>
  </si>
  <si>
    <t xml:space="preserve">  Shares outstanding change YoY</t>
  </si>
  <si>
    <t xml:space="preserve">Capital return context</t>
  </si>
  <si>
    <t xml:space="preserve">FY2024 capital returned to shareholders ($bn)</t>
  </si>
  <si>
    <t xml:space="preserve">  of which share repurchases ($bn)</t>
  </si>
  <si>
    <t xml:space="preserve">  of which common dividends ($bn)</t>
  </si>
  <si>
    <t xml:space="preserve">FY2025 4Q common shares repurchased (mm)</t>
  </si>
  <si>
    <t xml:space="preserve">FY2025 4Q repurchase cost ($bn)</t>
  </si>
  <si>
    <t xml:space="preserve">Source: GS FY2024 Earnings Release (Jan 15 2025); GS 4Q25 Earnings</t>
  </si>
  <si>
    <t xml:space="preserve">Results Presentation (Jan 15 2026). Diluted share count fell from 355.0mm</t>
  </si>
  <si>
    <t xml:space="preserve">(2021) to 300.6mm (2025), a -15.3% reduction over 4 years, almost entirely</t>
  </si>
  <si>
    <t xml:space="preserve">via buybacks — this buyback cadence is a key DCF/reverse-DCF driver.</t>
  </si>
  <si>
    <t xml:space="preserve">Net Revenues by Business Segment ($ in millions)</t>
  </si>
  <si>
    <t xml:space="preserve">Segment</t>
  </si>
  <si>
    <t xml:space="preserve">Investment Banking (2021 structure)</t>
  </si>
  <si>
    <t xml:space="preserve">Global Markets (2021 structure)</t>
  </si>
  <si>
    <t xml:space="preserve">Asset Management (2021 structure)</t>
  </si>
  <si>
    <t xml:space="preserve">Consumer &amp; Wealth Management (2021 structure)</t>
  </si>
  <si>
    <t xml:space="preserve">Global Banking &amp; Markets (2022-25 structure)</t>
  </si>
  <si>
    <t xml:space="preserve">Asset &amp; Wealth Management (2022-25 structure)</t>
  </si>
  <si>
    <t xml:space="preserve">Platform Solutions (2022-25 structure)</t>
  </si>
  <si>
    <t xml:space="preserve">Total net revenues (as reported)</t>
  </si>
  <si>
    <t xml:space="preserve">Note: Goldman Sachs changed its business-segment structure twice in this window: 4-segment</t>
  </si>
  <si>
    <t xml:space="preserve">(Investment Banking / Global Markets / Asset Management / Consumer &amp; Wealth Mgmt) through FY2021,</t>
  </si>
  <si>
    <t xml:space="preserve">reorganized to 3 segments (Global Banking &amp; Markets / Asset &amp; Wealth Mgmt / Platform Solutions) for</t>
  </si>
  <si>
    <t xml:space="preserve">FY2022-FY2025, then to a further-simplified structure starting 4Q25 (see Form 8-K filed Jan 8, 2026).</t>
  </si>
  <si>
    <t xml:space="preserve">Prior-period segment figures are NOT restated here to the latest structure — pull the FY2025 10-K</t>
  </si>
  <si>
    <t xml:space="preserve">Note 25 (Business Segments) 5-year recast table before using this tab for segment-level modeling.</t>
  </si>
  <si>
    <t xml:space="preserve">The only fully reliable cross-year comparison is Total net revenues (as reported), used throughout</t>
  </si>
  <si>
    <t xml:space="preserve">the rest of this workbook and the 3-statement model.</t>
  </si>
  <si>
    <t xml:space="preserve">Data Sources &amp; Citations</t>
  </si>
  <si>
    <t xml:space="preserve">Item</t>
  </si>
  <si>
    <t xml:space="preserve">Source</t>
  </si>
  <si>
    <t xml:space="preserve">FY2021-FY2025 net revenues, net earnings, diluted EPS, ROE, ROTE</t>
  </si>
  <si>
    <t xml:space="preserve">GS Full Year &amp; 4Q Earnings Results press releases (Form 8-K, Ex-99.1/99.2), SEC EDGAR, respective January each year</t>
  </si>
  <si>
    <t xml:space="preserve">FY2023-FY2024 efficiency ratio, operating expenses</t>
  </si>
  <si>
    <t xml:space="preserve">GS FY2024 10-K analysis summary; GS 2024 Annual Report</t>
  </si>
  <si>
    <t xml:space="preserve">FY2021-FY2025 book value per share</t>
  </si>
  <si>
    <t xml:space="preserve">GS Full Year &amp; 4Q Earnings Results press releases; FY2024 BVPS derived from disclosed +6.2% YoY growth to $357.60 stated in the 4Q25 release</t>
  </si>
  <si>
    <t xml:space="preserve">Diluted weighted-average shares outstanding</t>
  </si>
  <si>
    <t xml:space="preserve">Estimated from Net earnings applicable to common / reported diluted EPS each year; cross-checked against 313.9mm shares outstanding disclosed in 3Q24 10-Q (Oct 18, 2024)</t>
  </si>
  <si>
    <t xml:space="preserve">Preferred dividends</t>
  </si>
  <si>
    <t xml:space="preserve">Estimated at ~4% of net earnings, consistent with GS preferred stock program disclosures; verify exact figure in each 10-K Note 21 (Earnings Per Common Share) before use in a live deliverable</t>
  </si>
  <si>
    <t xml:space="preserve">Current share price, 52-week range</t>
  </si>
  <si>
    <t xml:space="preserve">Robinhood GS quote, 2026-07-02</t>
  </si>
  <si>
    <t xml:space="preserve">Current shares outstanding, beta, dividend</t>
  </si>
  <si>
    <t xml:space="preserve">Google Finance GS:NYSE quote, snapshot ~2026-07-02</t>
  </si>
  <si>
    <t xml:space="preserve">10-Year US Treasury yield</t>
  </si>
  <si>
    <t xml:space="preserve">Trading Economics / MacroMicro, 2026-07-02 (4.48%)</t>
  </si>
  <si>
    <t xml:space="preserve">Capital return context (FY2024 buybacks/dividends)</t>
  </si>
  <si>
    <t xml:space="preserve">GS FY2024 Full Year Earnings Release, Jan 15 2025</t>
  </si>
  <si>
    <t xml:space="preserve">4Q25 buyback detail (18.9mm shares, $12.36bn)</t>
  </si>
  <si>
    <t xml:space="preserve">GS 4Q25 Earnings Results Presentation, Jan 15 2026</t>
  </si>
  <si>
    <t xml:space="preserve">Total assets (~$1.809T)</t>
  </si>
  <si>
    <t xml:space="preserve">companiesmarketcap.com, GS total assets snapshot, 2026</t>
  </si>
  <si>
    <t xml:space="preserve">Peer comps (JPM, MS, BAC, C)</t>
  </si>
  <si>
    <t xml:space="preserve">See "Comparable Company Analysis" workbook, Data Sources tab</t>
  </si>
  <si>
    <t xml:space="preserve">DISCLAIMER: This workbook is a portfolio / educational project, not investment research. All figures are sourced from public filings and secondary market-data sites as of the dates noted above and may contain transcription or staleness error. Verify all inputs against the primary source (SEC EDGAR filing) before relying on this model for any real decision.</t>
  </si>
</sst>
</file>

<file path=xl/styles.xml><?xml version="1.0" encoding="utf-8"?>
<styleSheet xmlns="http://schemas.openxmlformats.org/spreadsheetml/2006/main">
  <numFmts count="8">
    <numFmt numFmtId="164" formatCode="General"/>
    <numFmt numFmtId="165" formatCode="\$#,##0.00;&quot;($&quot;#,##0.00\);\-"/>
    <numFmt numFmtId="166" formatCode="#,##0.0"/>
    <numFmt numFmtId="167" formatCode="\$#,##0;&quot;($&quot;#,##0\);\-"/>
    <numFmt numFmtId="168" formatCode="0.0\x;\(0.0&quot;x)&quot;;\-"/>
    <numFmt numFmtId="169" formatCode="0.0%;\(0.0%\);\-"/>
    <numFmt numFmtId="170" formatCode="0.00"/>
    <numFmt numFmtId="171"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color rgb="FF000000"/>
      <name val="Arial"/>
      <family val="0"/>
      <charset val="1"/>
    </font>
    <font>
      <b val="true"/>
      <sz val="10"/>
      <color rgb="FF1F4E78"/>
      <name val="Arial"/>
      <family val="0"/>
      <charset val="1"/>
    </font>
    <font>
      <sz val="10"/>
      <color rgb="FF0000FF"/>
      <name val="Arial"/>
      <family val="0"/>
      <charset val="1"/>
    </font>
    <font>
      <i val="true"/>
      <sz val="8"/>
      <color rgb="FF808080"/>
      <name val="Arial"/>
      <family val="0"/>
      <charset val="1"/>
    </font>
    <font>
      <b val="true"/>
      <sz val="10"/>
      <color rgb="FFFFFFFF"/>
      <name val="Arial"/>
      <family val="0"/>
      <charset val="1"/>
    </font>
    <font>
      <sz val="10"/>
      <color rgb="FF008000"/>
      <name val="Arial"/>
      <family val="0"/>
      <charset val="1"/>
    </font>
    <font>
      <sz val="9"/>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D9E1F2"/>
        <bgColor rgb="FFCC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10" fillId="2"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7" fontId="8" fillId="0" borderId="1" xfId="0" applyFont="true" applyBorder="true" applyAlignment="true" applyProtection="true">
      <alignment horizontal="general" vertical="bottom" textRotation="0" wrapText="false" indent="0" shrinkToFit="false"/>
      <protection locked="true" hidden="false"/>
    </xf>
    <xf numFmtId="169" fontId="8" fillId="0" borderId="1" xfId="0" applyFont="tru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7" fontId="6"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6" fontId="8" fillId="0" borderId="1"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9" fontId="6"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9" fontId="0" fillId="0" borderId="1" xfId="0" applyFont="false" applyBorder="tru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bottom" textRotation="0" wrapText="false" indent="0" shrinkToFit="false"/>
      <protection locked="true" hidden="false"/>
    </xf>
    <xf numFmtId="169" fontId="11" fillId="0"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8"/>
  </cols>
  <sheetData>
    <row r="1" customFormat="false" ht="27.75" hidden="false" customHeight="true" outlineLevel="0" collapsed="false">
      <c r="A1" s="2" t="s">
        <v>0</v>
      </c>
      <c r="B1" s="2"/>
      <c r="C1" s="2"/>
      <c r="D1" s="2"/>
      <c r="E1" s="2"/>
      <c r="F1" s="2"/>
    </row>
    <row r="3" customFormat="false" ht="15" hidden="false" customHeight="false" outlineLevel="0" collapsed="false">
      <c r="A3" s="3" t="s">
        <v>1</v>
      </c>
      <c r="B3" s="4" t="s">
        <v>2</v>
      </c>
    </row>
    <row r="4" customFormat="false" ht="15" hidden="false" customHeight="false" outlineLevel="0" collapsed="false">
      <c r="A4" s="3" t="s">
        <v>3</v>
      </c>
      <c r="B4" s="4" t="s">
        <v>4</v>
      </c>
    </row>
    <row r="5" customFormat="false" ht="15" hidden="false" customHeight="false" outlineLevel="0" collapsed="false">
      <c r="A5" s="3" t="s">
        <v>5</v>
      </c>
      <c r="B5" s="4" t="s">
        <v>6</v>
      </c>
    </row>
    <row r="6" customFormat="false" ht="15" hidden="false" customHeight="false" outlineLevel="0" collapsed="false">
      <c r="A6" s="3" t="s">
        <v>7</v>
      </c>
      <c r="B6" s="4" t="s">
        <v>8</v>
      </c>
    </row>
    <row r="7" customFormat="false" ht="15" hidden="false" customHeight="false" outlineLevel="0" collapsed="false">
      <c r="A7" s="3"/>
      <c r="B7" s="4"/>
    </row>
    <row r="9" customFormat="false" ht="15" hidden="false" customHeight="false" outlineLevel="0" collapsed="false">
      <c r="A9" s="5" t="s">
        <v>9</v>
      </c>
      <c r="B9" s="5"/>
    </row>
    <row r="10" customFormat="false" ht="15" hidden="false" customHeight="false" outlineLevel="0" collapsed="false">
      <c r="A10" s="4" t="s">
        <v>10</v>
      </c>
      <c r="B10" s="6" t="n">
        <v>1022.11</v>
      </c>
    </row>
    <row r="11" customFormat="false" ht="15" hidden="false" customHeight="false" outlineLevel="0" collapsed="false">
      <c r="A11" s="4" t="s">
        <v>11</v>
      </c>
      <c r="B11" s="4" t="s">
        <v>12</v>
      </c>
    </row>
    <row r="12" customFormat="false" ht="15" hidden="false" customHeight="false" outlineLevel="0" collapsed="false">
      <c r="A12" s="4" t="s">
        <v>13</v>
      </c>
      <c r="B12" s="7" t="n">
        <v>295</v>
      </c>
    </row>
    <row r="13" customFormat="false" ht="15" hidden="false" customHeight="false" outlineLevel="0" collapsed="false">
      <c r="A13" s="4" t="s">
        <v>14</v>
      </c>
      <c r="B13" s="8" t="n">
        <v>301522.45</v>
      </c>
    </row>
    <row r="14" customFormat="false" ht="15" hidden="false" customHeight="false" outlineLevel="0" collapsed="false">
      <c r="A14" s="4" t="s">
        <v>15</v>
      </c>
      <c r="B14" s="6" t="n">
        <v>357.6</v>
      </c>
    </row>
    <row r="15" customFormat="false" ht="15" hidden="false" customHeight="false" outlineLevel="0" collapsed="false">
      <c r="A15" s="4" t="s">
        <v>16</v>
      </c>
      <c r="B15" s="9" t="n">
        <v>2.85824944071588</v>
      </c>
    </row>
    <row r="16" customFormat="false" ht="15" hidden="false" customHeight="false" outlineLevel="0" collapsed="false">
      <c r="A16" s="4" t="s">
        <v>17</v>
      </c>
      <c r="B16" s="6" t="n">
        <v>51.32</v>
      </c>
    </row>
    <row r="17" customFormat="false" ht="15" hidden="false" customHeight="false" outlineLevel="0" collapsed="false">
      <c r="A17" s="4" t="s">
        <v>18</v>
      </c>
      <c r="B17" s="9" t="n">
        <v>19.9164068589244</v>
      </c>
    </row>
    <row r="18" customFormat="false" ht="15" hidden="false" customHeight="false" outlineLevel="0" collapsed="false">
      <c r="A18" s="4" t="s">
        <v>19</v>
      </c>
      <c r="B18" s="6" t="n">
        <v>4.51</v>
      </c>
    </row>
    <row r="19" customFormat="false" ht="15" hidden="false" customHeight="false" outlineLevel="0" collapsed="false">
      <c r="A19" s="4" t="s">
        <v>20</v>
      </c>
      <c r="B19" s="6" t="n">
        <v>18.04</v>
      </c>
    </row>
    <row r="20" customFormat="false" ht="15" hidden="false" customHeight="false" outlineLevel="0" collapsed="false">
      <c r="A20" s="4" t="s">
        <v>21</v>
      </c>
      <c r="B20" s="10" t="n">
        <v>0.017649763724061</v>
      </c>
    </row>
    <row r="21" customFormat="false" ht="15" hidden="false" customHeight="false" outlineLevel="0" collapsed="false">
      <c r="A21" s="4" t="s">
        <v>22</v>
      </c>
      <c r="B21" s="11" t="n">
        <v>1.3</v>
      </c>
    </row>
    <row r="23" customFormat="false" ht="15" hidden="false" customHeight="false" outlineLevel="0" collapsed="false">
      <c r="A23" s="5" t="s">
        <v>23</v>
      </c>
      <c r="B23" s="5"/>
    </row>
    <row r="24" customFormat="false" ht="15" hidden="false" customHeight="false" outlineLevel="0" collapsed="false">
      <c r="A24" s="4" t="s">
        <v>24</v>
      </c>
      <c r="B24" s="12" t="s">
        <v>25</v>
      </c>
    </row>
    <row r="25" customFormat="false" ht="15" hidden="false" customHeight="false" outlineLevel="0" collapsed="false">
      <c r="A25" s="4" t="s">
        <v>26</v>
      </c>
      <c r="B25" s="12" t="s">
        <v>27</v>
      </c>
    </row>
    <row r="26" customFormat="false" ht="15" hidden="false" customHeight="false" outlineLevel="0" collapsed="false">
      <c r="A26" s="4" t="s">
        <v>28</v>
      </c>
      <c r="B26" s="12" t="s">
        <v>29</v>
      </c>
    </row>
    <row r="27" customFormat="false" ht="15" hidden="false" customHeight="false" outlineLevel="0" collapsed="false">
      <c r="A27" s="4" t="s">
        <v>30</v>
      </c>
      <c r="B27" s="12" t="s">
        <v>31</v>
      </c>
    </row>
    <row r="28" customFormat="false" ht="15" hidden="false" customHeight="false" outlineLevel="0" collapsed="false">
      <c r="A28" s="4" t="s">
        <v>32</v>
      </c>
      <c r="B28" s="12" t="s">
        <v>33</v>
      </c>
    </row>
    <row r="31" customFormat="false" ht="15" hidden="false" customHeight="true" outlineLevel="0" collapsed="false">
      <c r="A31" s="13" t="s">
        <v>34</v>
      </c>
      <c r="B31" s="13"/>
      <c r="C31" s="13"/>
      <c r="D31" s="13"/>
      <c r="E31" s="13"/>
      <c r="F31" s="13"/>
    </row>
    <row r="32" customFormat="false" ht="15" hidden="false" customHeight="false" outlineLevel="0" collapsed="false">
      <c r="A32" s="13"/>
      <c r="B32" s="13"/>
      <c r="C32" s="13"/>
      <c r="D32" s="13"/>
      <c r="E32" s="13"/>
      <c r="F32" s="13"/>
    </row>
    <row r="33" customFormat="false" ht="15" hidden="false" customHeight="false" outlineLevel="0" collapsed="false">
      <c r="A33" s="13"/>
      <c r="B33" s="13"/>
      <c r="C33" s="13"/>
      <c r="D33" s="13"/>
      <c r="E33" s="13"/>
      <c r="F33" s="13"/>
    </row>
  </sheetData>
  <mergeCells count="4">
    <mergeCell ref="A1:F1"/>
    <mergeCell ref="A9:B9"/>
    <mergeCell ref="A23:B23"/>
    <mergeCell ref="A31: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7" min="2" style="1" width="14"/>
  </cols>
  <sheetData>
    <row r="1" customFormat="false" ht="27.75" hidden="false" customHeight="true" outlineLevel="0" collapsed="false">
      <c r="A1" s="2" t="s">
        <v>35</v>
      </c>
      <c r="B1" s="2"/>
      <c r="C1" s="2"/>
      <c r="D1" s="2"/>
      <c r="E1" s="2"/>
      <c r="F1" s="2"/>
      <c r="G1" s="2"/>
    </row>
    <row r="3" customFormat="false" ht="15" hidden="false" customHeight="false" outlineLevel="0" collapsed="false">
      <c r="A3" s="12" t="s">
        <v>36</v>
      </c>
    </row>
    <row r="4" customFormat="false" ht="15" hidden="false" customHeight="false" outlineLevel="0" collapsed="false">
      <c r="A4" s="14" t="s">
        <v>37</v>
      </c>
      <c r="B4" s="14" t="s">
        <v>38</v>
      </c>
      <c r="C4" s="14" t="s">
        <v>39</v>
      </c>
      <c r="D4" s="14" t="s">
        <v>40</v>
      </c>
      <c r="E4" s="14" t="s">
        <v>41</v>
      </c>
      <c r="F4" s="14" t="s">
        <v>42</v>
      </c>
    </row>
    <row r="5" customFormat="false" ht="15" hidden="false" customHeight="false" outlineLevel="0" collapsed="false">
      <c r="A5" s="15" t="s">
        <v>43</v>
      </c>
      <c r="B5" s="16" t="n">
        <v>59339</v>
      </c>
      <c r="C5" s="16" t="n">
        <v>47365</v>
      </c>
      <c r="D5" s="16" t="n">
        <v>46254</v>
      </c>
      <c r="E5" s="16" t="n">
        <v>53510</v>
      </c>
      <c r="F5" s="16" t="n">
        <v>58280</v>
      </c>
    </row>
    <row r="6" customFormat="false" ht="15" hidden="false" customHeight="false" outlineLevel="0" collapsed="false">
      <c r="A6" s="15" t="s">
        <v>44</v>
      </c>
      <c r="B6" s="17" t="s">
        <v>45</v>
      </c>
      <c r="C6" s="17" t="n">
        <f aca="false">(C5-B5)/B5</f>
        <v>-0.201789716712449</v>
      </c>
      <c r="D6" s="17" t="n">
        <f aca="false">(D5-C5)/C5</f>
        <v>-0.0234561384988916</v>
      </c>
      <c r="E6" s="17" t="n">
        <f aca="false">(E5-D5)/D5</f>
        <v>0.156872919098889</v>
      </c>
      <c r="F6" s="17" t="n">
        <f aca="false">(F5-E5)/E5</f>
        <v>0.089142216408148</v>
      </c>
    </row>
    <row r="7" customFormat="false" ht="15" hidden="false" customHeight="false" outlineLevel="0" collapsed="false">
      <c r="A7" s="15" t="s">
        <v>46</v>
      </c>
      <c r="B7" s="18" t="s">
        <v>47</v>
      </c>
      <c r="C7" s="18" t="s">
        <v>47</v>
      </c>
      <c r="D7" s="16" t="n">
        <v>34500</v>
      </c>
      <c r="E7" s="16" t="n">
        <v>33770</v>
      </c>
      <c r="F7" s="18" t="s">
        <v>47</v>
      </c>
    </row>
    <row r="8" customFormat="false" ht="15" hidden="false" customHeight="false" outlineLevel="0" collapsed="false">
      <c r="A8" s="15" t="s">
        <v>48</v>
      </c>
      <c r="B8" s="18" t="s">
        <v>47</v>
      </c>
      <c r="C8" s="18" t="s">
        <v>47</v>
      </c>
      <c r="D8" s="19" t="n">
        <f aca="false">D5-D7</f>
        <v>11754</v>
      </c>
      <c r="E8" s="19" t="n">
        <f aca="false">E5-E7</f>
        <v>19740</v>
      </c>
      <c r="F8" s="18" t="s">
        <v>47</v>
      </c>
    </row>
    <row r="9" customFormat="false" ht="15" hidden="false" customHeight="false" outlineLevel="0" collapsed="false">
      <c r="A9" s="15" t="s">
        <v>49</v>
      </c>
      <c r="B9" s="16" t="n">
        <v>21635</v>
      </c>
      <c r="C9" s="16" t="n">
        <v>11261</v>
      </c>
      <c r="D9" s="16" t="n">
        <v>8516</v>
      </c>
      <c r="E9" s="16" t="n">
        <v>14281</v>
      </c>
      <c r="F9" s="16" t="n">
        <v>17180</v>
      </c>
    </row>
    <row r="10" customFormat="false" ht="15" hidden="false" customHeight="false" outlineLevel="0" collapsed="false">
      <c r="A10" s="15" t="s">
        <v>50</v>
      </c>
      <c r="B10" s="16" t="n">
        <v>-794</v>
      </c>
      <c r="C10" s="16" t="n">
        <v>-858</v>
      </c>
      <c r="D10" s="16" t="n">
        <v>-898</v>
      </c>
      <c r="E10" s="16" t="n">
        <v>-850</v>
      </c>
      <c r="F10" s="16" t="n">
        <v>-900</v>
      </c>
    </row>
    <row r="11" customFormat="false" ht="15" hidden="false" customHeight="false" outlineLevel="0" collapsed="false">
      <c r="A11" s="20" t="s">
        <v>51</v>
      </c>
      <c r="B11" s="19" t="n">
        <f aca="false">B9+B10</f>
        <v>20841</v>
      </c>
      <c r="C11" s="19" t="n">
        <f aca="false">C9+C10</f>
        <v>10403</v>
      </c>
      <c r="D11" s="19" t="n">
        <f aca="false">D9+D10</f>
        <v>7618</v>
      </c>
      <c r="E11" s="19" t="n">
        <f aca="false">E9+E10</f>
        <v>13431</v>
      </c>
      <c r="F11" s="19" t="n">
        <f aca="false">F9+F10</f>
        <v>16280</v>
      </c>
    </row>
    <row r="12" customFormat="false" ht="15" hidden="false" customHeight="false" outlineLevel="0" collapsed="false">
      <c r="A12" s="15" t="s">
        <v>52</v>
      </c>
      <c r="B12" s="21" t="n">
        <v>355</v>
      </c>
      <c r="C12" s="21" t="n">
        <v>347.6</v>
      </c>
      <c r="D12" s="21" t="n">
        <v>341.9</v>
      </c>
      <c r="E12" s="21" t="n">
        <v>327.3</v>
      </c>
      <c r="F12" s="21" t="n">
        <v>300.6</v>
      </c>
    </row>
    <row r="13" customFormat="false" ht="15" hidden="false" customHeight="false" outlineLevel="0" collapsed="false">
      <c r="A13" s="15" t="s">
        <v>53</v>
      </c>
      <c r="B13" s="22" t="n">
        <f aca="false">B11/B12</f>
        <v>58.7070422535211</v>
      </c>
      <c r="C13" s="22" t="n">
        <f aca="false">C11/C12</f>
        <v>29.9280782508631</v>
      </c>
      <c r="D13" s="22" t="n">
        <f aca="false">D11/D12</f>
        <v>22.2813688212928</v>
      </c>
      <c r="E13" s="22" t="n">
        <f aca="false">E11/E12</f>
        <v>41.0357470210816</v>
      </c>
      <c r="F13" s="22" t="n">
        <f aca="false">F11/F12</f>
        <v>54.1583499667332</v>
      </c>
    </row>
    <row r="14" customFormat="false" ht="15" hidden="false" customHeight="false" outlineLevel="0" collapsed="false">
      <c r="A14" s="20" t="s">
        <v>54</v>
      </c>
      <c r="B14" s="23" t="n">
        <v>59.45</v>
      </c>
      <c r="C14" s="23" t="n">
        <v>30.06</v>
      </c>
      <c r="D14" s="23" t="n">
        <v>22.87</v>
      </c>
      <c r="E14" s="23" t="n">
        <v>40.54</v>
      </c>
      <c r="F14" s="23" t="n">
        <v>51.32</v>
      </c>
    </row>
    <row r="15" customFormat="false" ht="15" hidden="false" customHeight="false" outlineLevel="0" collapsed="false">
      <c r="A15" s="15" t="s">
        <v>55</v>
      </c>
      <c r="B15" s="17" t="s">
        <v>45</v>
      </c>
      <c r="C15" s="17" t="n">
        <f aca="false">(C14-B14)/B14</f>
        <v>-0.494365012615643</v>
      </c>
      <c r="D15" s="17" t="n">
        <f aca="false">(D14-C14)/C14</f>
        <v>-0.239188290086494</v>
      </c>
      <c r="E15" s="17" t="n">
        <f aca="false">(E14-D14)/D14</f>
        <v>0.772627896808045</v>
      </c>
      <c r="F15" s="17" t="n">
        <f aca="false">(F14-E14)/E14</f>
        <v>0.265910212136162</v>
      </c>
    </row>
    <row r="16" customFormat="false" ht="15" hidden="false" customHeight="false" outlineLevel="0" collapsed="false">
      <c r="A16" s="15" t="s">
        <v>56</v>
      </c>
      <c r="B16" s="24" t="n">
        <f aca="false">B9/B5</f>
        <v>0.364600010111394</v>
      </c>
      <c r="C16" s="24" t="n">
        <f aca="false">C9/C5</f>
        <v>0.237749393011718</v>
      </c>
      <c r="D16" s="24" t="n">
        <f aca="false">D9/D5</f>
        <v>0.184113806373503</v>
      </c>
      <c r="E16" s="24" t="n">
        <f aca="false">E9/E5</f>
        <v>0.266884694449636</v>
      </c>
      <c r="F16" s="24" t="n">
        <f aca="false">F9/F5</f>
        <v>0.294783802333562</v>
      </c>
    </row>
    <row r="17" customFormat="false" ht="15" hidden="false" customHeight="false" outlineLevel="0" collapsed="false">
      <c r="A17" s="25"/>
      <c r="B17" s="25"/>
      <c r="C17" s="25"/>
      <c r="D17" s="25"/>
      <c r="E17" s="25"/>
      <c r="F17" s="25"/>
    </row>
    <row r="18" customFormat="false" ht="15" hidden="false" customHeight="false" outlineLevel="0" collapsed="false">
      <c r="A18" s="26" t="s">
        <v>57</v>
      </c>
      <c r="B18" s="26"/>
      <c r="C18" s="26"/>
      <c r="D18" s="26"/>
      <c r="E18" s="26"/>
      <c r="F18" s="26"/>
    </row>
    <row r="19" customFormat="false" ht="15" hidden="false" customHeight="false" outlineLevel="0" collapsed="false">
      <c r="A19" s="25"/>
      <c r="B19" s="25"/>
      <c r="C19" s="25"/>
      <c r="D19" s="25"/>
      <c r="E19" s="25"/>
      <c r="F19" s="25"/>
    </row>
    <row r="20" customFormat="false" ht="15" hidden="false" customHeight="false" outlineLevel="0" collapsed="false">
      <c r="A20" s="27" t="s">
        <v>58</v>
      </c>
      <c r="B20" s="27"/>
      <c r="C20" s="25"/>
      <c r="D20" s="25"/>
      <c r="E20" s="25"/>
      <c r="F20" s="25"/>
    </row>
    <row r="21" customFormat="false" ht="15" hidden="false" customHeight="false" outlineLevel="0" collapsed="false">
      <c r="A21" s="15" t="s">
        <v>59</v>
      </c>
      <c r="B21" s="28" t="n">
        <f aca="false">(F5/B5)^(1/4)-1</f>
        <v>-0.00449182677283333</v>
      </c>
      <c r="C21" s="25"/>
      <c r="D21" s="25"/>
      <c r="E21" s="25"/>
      <c r="F21" s="25"/>
    </row>
    <row r="22" customFormat="false" ht="15" hidden="false" customHeight="false" outlineLevel="0" collapsed="false">
      <c r="A22" s="15" t="s">
        <v>60</v>
      </c>
      <c r="B22" s="28" t="n">
        <f aca="false">(F14/B14)^(1/4)-1</f>
        <v>-0.0360961893633418</v>
      </c>
      <c r="C22" s="25"/>
      <c r="D22" s="25"/>
      <c r="E22" s="25"/>
      <c r="F22" s="25"/>
    </row>
  </sheetData>
  <mergeCells count="3">
    <mergeCell ref="A1:G1"/>
    <mergeCell ref="A18:F18"/>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6" min="2" style="1" width="13"/>
  </cols>
  <sheetData>
    <row r="1" customFormat="false" ht="27.75" hidden="false" customHeight="true" outlineLevel="0" collapsed="false">
      <c r="A1" s="2" t="s">
        <v>61</v>
      </c>
      <c r="B1" s="2"/>
      <c r="C1" s="2"/>
      <c r="D1" s="2"/>
      <c r="E1" s="2"/>
      <c r="F1" s="2"/>
    </row>
    <row r="4" customFormat="false" ht="15" hidden="false" customHeight="false" outlineLevel="0" collapsed="false">
      <c r="A4" s="14" t="s">
        <v>37</v>
      </c>
      <c r="B4" s="14" t="s">
        <v>38</v>
      </c>
      <c r="C4" s="14" t="s">
        <v>39</v>
      </c>
      <c r="D4" s="14" t="s">
        <v>40</v>
      </c>
      <c r="E4" s="14" t="s">
        <v>41</v>
      </c>
      <c r="F4" s="14" t="s">
        <v>42</v>
      </c>
    </row>
    <row r="5" customFormat="false" ht="15" hidden="false" customHeight="false" outlineLevel="0" collapsed="false">
      <c r="A5" s="3" t="s">
        <v>62</v>
      </c>
      <c r="B5" s="17" t="n">
        <v>0.23</v>
      </c>
      <c r="C5" s="17" t="n">
        <v>0.102</v>
      </c>
      <c r="D5" s="17" t="n">
        <v>0.075</v>
      </c>
      <c r="E5" s="17" t="n">
        <v>0.127</v>
      </c>
      <c r="F5" s="17" t="n">
        <v>0.15</v>
      </c>
    </row>
    <row r="6" customFormat="false" ht="15" hidden="false" customHeight="false" outlineLevel="0" collapsed="false">
      <c r="A6" s="4" t="s">
        <v>63</v>
      </c>
      <c r="B6" s="17" t="n">
        <v>0.243</v>
      </c>
      <c r="C6" s="17" t="n">
        <v>0.11</v>
      </c>
      <c r="D6" s="17" t="n">
        <v>0.081</v>
      </c>
      <c r="E6" s="17" t="n">
        <v>0.137</v>
      </c>
      <c r="F6" s="17" t="n">
        <v>0.16</v>
      </c>
    </row>
    <row r="7" customFormat="false" ht="15" hidden="false" customHeight="false" outlineLevel="0" collapsed="false">
      <c r="A7" s="4" t="s">
        <v>64</v>
      </c>
      <c r="B7" s="29" t="s">
        <v>47</v>
      </c>
      <c r="C7" s="29" t="s">
        <v>47</v>
      </c>
      <c r="D7" s="17" t="n">
        <v>0.746</v>
      </c>
      <c r="E7" s="17" t="n">
        <v>0.631</v>
      </c>
      <c r="F7" s="29" t="s">
        <v>47</v>
      </c>
    </row>
    <row r="8" customFormat="false" ht="15" hidden="false" customHeight="false" outlineLevel="0" collapsed="false">
      <c r="A8" s="3" t="s">
        <v>65</v>
      </c>
      <c r="B8" s="23" t="n">
        <v>284.39</v>
      </c>
      <c r="C8" s="23" t="n">
        <v>303.55</v>
      </c>
      <c r="D8" s="23" t="n">
        <v>313.56</v>
      </c>
      <c r="E8" s="23" t="n">
        <v>336.72</v>
      </c>
      <c r="F8" s="23" t="n">
        <v>357.6</v>
      </c>
    </row>
    <row r="10" customFormat="false" ht="15" hidden="false" customHeight="false" outlineLevel="0" collapsed="false">
      <c r="A10" s="4" t="s">
        <v>66</v>
      </c>
      <c r="B10" s="12" t="s">
        <v>45</v>
      </c>
      <c r="C10" s="24" t="n">
        <f aca="false">C8/B8-1</f>
        <v>0.0673722704736455</v>
      </c>
      <c r="D10" s="24" t="n">
        <f aca="false">D8/C8-1</f>
        <v>0.0329764453961456</v>
      </c>
      <c r="E10" s="24" t="n">
        <f aca="false">E8/D8-1</f>
        <v>0.0738614619211635</v>
      </c>
      <c r="F10" s="24" t="n">
        <f aca="false">F8/E8-1</f>
        <v>0.0620099786172488</v>
      </c>
    </row>
    <row r="12" customFormat="false" ht="15" hidden="false" customHeight="false" outlineLevel="0" collapsed="false">
      <c r="A12" s="5" t="s">
        <v>67</v>
      </c>
      <c r="B12" s="5"/>
    </row>
    <row r="13" customFormat="false" ht="15" hidden="false" customHeight="false" outlineLevel="0" collapsed="false">
      <c r="A13" s="4" t="s">
        <v>56</v>
      </c>
      <c r="B13" s="30" t="str">
        <f aca="false">'Income Statement'!B15</f>
        <v>n/a</v>
      </c>
      <c r="C13" s="30" t="n">
        <f aca="false">'Income Statement'!C15</f>
        <v>-0.494365012615643</v>
      </c>
      <c r="D13" s="30" t="n">
        <f aca="false">'Income Statement'!D15</f>
        <v>-0.239188290086494</v>
      </c>
      <c r="E13" s="30" t="n">
        <f aca="false">'Income Statement'!E15</f>
        <v>0.772627896808045</v>
      </c>
      <c r="F13" s="30" t="n">
        <f aca="false">'Income Statement'!F15</f>
        <v>0.265910212136162</v>
      </c>
    </row>
    <row r="14" customFormat="false" ht="15" hidden="false" customHeight="false" outlineLevel="0" collapsed="false">
      <c r="A14" s="12" t="s">
        <v>68</v>
      </c>
    </row>
    <row r="15" customFormat="false" ht="15" hidden="false" customHeight="false" outlineLevel="0" collapsed="false">
      <c r="A15" s="12" t="s">
        <v>69</v>
      </c>
    </row>
    <row r="16" customFormat="false" ht="15" hidden="false" customHeight="false" outlineLevel="0" collapsed="false">
      <c r="A16" s="12" t="s">
        <v>70</v>
      </c>
    </row>
    <row r="18" customFormat="false" ht="15" hidden="false" customHeight="false" outlineLevel="0" collapsed="false">
      <c r="A18" s="5" t="s">
        <v>71</v>
      </c>
      <c r="B18" s="5"/>
      <c r="C18" s="5"/>
      <c r="D18" s="5"/>
      <c r="E18" s="5"/>
      <c r="F18" s="5"/>
    </row>
    <row r="19" customFormat="false" ht="15" hidden="false" customHeight="false" outlineLevel="0" collapsed="false">
      <c r="A19" s="31" t="s">
        <v>72</v>
      </c>
      <c r="B19" s="31"/>
      <c r="C19" s="31"/>
      <c r="D19" s="31"/>
      <c r="E19" s="31"/>
      <c r="F19" s="31"/>
    </row>
    <row r="20" customFormat="false" ht="15" hidden="false" customHeight="false" outlineLevel="0" collapsed="false">
      <c r="A20" s="31" t="s">
        <v>73</v>
      </c>
      <c r="B20" s="31"/>
      <c r="C20" s="31"/>
      <c r="D20" s="31"/>
      <c r="E20" s="31"/>
      <c r="F20" s="31"/>
    </row>
    <row r="21" customFormat="false" ht="15" hidden="false" customHeight="false" outlineLevel="0" collapsed="false">
      <c r="A21" s="31" t="s">
        <v>74</v>
      </c>
      <c r="B21" s="31"/>
      <c r="C21" s="31"/>
      <c r="D21" s="31"/>
      <c r="E21" s="31"/>
      <c r="F21" s="31"/>
    </row>
    <row r="22" customFormat="false" ht="15" hidden="false" customHeight="false" outlineLevel="0" collapsed="false">
      <c r="A22" s="31" t="s">
        <v>75</v>
      </c>
      <c r="B22" s="31"/>
      <c r="C22" s="31"/>
      <c r="D22" s="31"/>
      <c r="E22" s="31"/>
      <c r="F22" s="31"/>
    </row>
    <row r="23" customFormat="false" ht="15" hidden="false" customHeight="false" outlineLevel="0" collapsed="false">
      <c r="A23" s="31" t="s">
        <v>76</v>
      </c>
      <c r="B23" s="31"/>
      <c r="C23" s="31"/>
      <c r="D23" s="31"/>
      <c r="E23" s="31"/>
      <c r="F23" s="31"/>
    </row>
  </sheetData>
  <mergeCells count="8">
    <mergeCell ref="A1:F1"/>
    <mergeCell ref="A12:B12"/>
    <mergeCell ref="A18:F18"/>
    <mergeCell ref="A19:F19"/>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6" min="2" style="1" width="13"/>
  </cols>
  <sheetData>
    <row r="1" customFormat="false" ht="27.75" hidden="false" customHeight="true" outlineLevel="0" collapsed="false">
      <c r="A1" s="2" t="s">
        <v>77</v>
      </c>
      <c r="B1" s="2"/>
      <c r="C1" s="2"/>
      <c r="D1" s="2"/>
      <c r="E1" s="2"/>
      <c r="F1" s="2"/>
    </row>
    <row r="4" customFormat="false" ht="15" hidden="false" customHeight="false" outlineLevel="0" collapsed="false">
      <c r="A4" s="14" t="s">
        <v>37</v>
      </c>
      <c r="B4" s="14" t="s">
        <v>38</v>
      </c>
      <c r="C4" s="14" t="s">
        <v>39</v>
      </c>
      <c r="D4" s="14" t="s">
        <v>40</v>
      </c>
      <c r="E4" s="14" t="s">
        <v>41</v>
      </c>
      <c r="F4" s="14" t="s">
        <v>42</v>
      </c>
    </row>
    <row r="5" customFormat="false" ht="15" hidden="false" customHeight="false" outlineLevel="0" collapsed="false">
      <c r="A5" s="3" t="s">
        <v>78</v>
      </c>
      <c r="B5" s="23" t="n">
        <v>59.45</v>
      </c>
      <c r="C5" s="23" t="n">
        <v>30.06</v>
      </c>
      <c r="D5" s="23" t="n">
        <v>22.87</v>
      </c>
      <c r="E5" s="23" t="n">
        <v>40.54</v>
      </c>
      <c r="F5" s="23" t="n">
        <v>51.32</v>
      </c>
    </row>
    <row r="6" customFormat="false" ht="15" hidden="false" customHeight="false" outlineLevel="0" collapsed="false">
      <c r="A6" s="3" t="s">
        <v>65</v>
      </c>
      <c r="B6" s="23" t="n">
        <v>284.39</v>
      </c>
      <c r="C6" s="23" t="n">
        <v>303.55</v>
      </c>
      <c r="D6" s="23" t="n">
        <v>313.56</v>
      </c>
      <c r="E6" s="23" t="n">
        <v>336.72</v>
      </c>
      <c r="F6" s="23" t="n">
        <v>357.6</v>
      </c>
    </row>
    <row r="7" customFormat="false" ht="15" hidden="false" customHeight="false" outlineLevel="0" collapsed="false">
      <c r="A7" s="4" t="s">
        <v>79</v>
      </c>
      <c r="B7" s="21" t="n">
        <v>355</v>
      </c>
      <c r="C7" s="21" t="n">
        <v>347.6</v>
      </c>
      <c r="D7" s="21" t="n">
        <v>341.9</v>
      </c>
      <c r="E7" s="21" t="n">
        <v>327.3</v>
      </c>
      <c r="F7" s="21" t="n">
        <v>300.6</v>
      </c>
    </row>
    <row r="9" customFormat="false" ht="15" hidden="false" customHeight="false" outlineLevel="0" collapsed="false">
      <c r="A9" s="4" t="s">
        <v>80</v>
      </c>
      <c r="B9" s="12" t="s">
        <v>45</v>
      </c>
      <c r="C9" s="24" t="n">
        <f aca="false">C7/B7-1</f>
        <v>-0.0208450704225351</v>
      </c>
      <c r="D9" s="24" t="n">
        <f aca="false">D7/C7-1</f>
        <v>-0.0163981588032223</v>
      </c>
      <c r="E9" s="24" t="n">
        <f aca="false">E7/D7-1</f>
        <v>-0.0427025446036852</v>
      </c>
      <c r="F9" s="24" t="n">
        <f aca="false">F7/E7-1</f>
        <v>-0.0815765352887259</v>
      </c>
    </row>
    <row r="11" customFormat="false" ht="15" hidden="false" customHeight="false" outlineLevel="0" collapsed="false">
      <c r="A11" s="5" t="s">
        <v>81</v>
      </c>
      <c r="B11" s="5"/>
      <c r="C11" s="5"/>
      <c r="D11" s="5"/>
      <c r="E11" s="5"/>
      <c r="F11" s="5"/>
    </row>
    <row r="12" customFormat="false" ht="15" hidden="false" customHeight="false" outlineLevel="0" collapsed="false">
      <c r="A12" s="4" t="s">
        <v>82</v>
      </c>
      <c r="B12" s="32" t="n">
        <v>11.8</v>
      </c>
    </row>
    <row r="13" customFormat="false" ht="15" hidden="false" customHeight="false" outlineLevel="0" collapsed="false">
      <c r="A13" s="4" t="s">
        <v>83</v>
      </c>
      <c r="B13" s="32" t="n">
        <v>8</v>
      </c>
    </row>
    <row r="14" customFormat="false" ht="15" hidden="false" customHeight="false" outlineLevel="0" collapsed="false">
      <c r="A14" s="4" t="s">
        <v>84</v>
      </c>
      <c r="B14" s="32" t="n">
        <v>3.8</v>
      </c>
    </row>
    <row r="15" customFormat="false" ht="15" hidden="false" customHeight="false" outlineLevel="0" collapsed="false">
      <c r="A15" s="4" t="s">
        <v>85</v>
      </c>
      <c r="B15" s="7" t="n">
        <v>18.9</v>
      </c>
    </row>
    <row r="16" customFormat="false" ht="15" hidden="false" customHeight="false" outlineLevel="0" collapsed="false">
      <c r="A16" s="4" t="s">
        <v>86</v>
      </c>
      <c r="B16" s="32" t="n">
        <v>12.36</v>
      </c>
    </row>
    <row r="18" customFormat="false" ht="15" hidden="false" customHeight="false" outlineLevel="0" collapsed="false">
      <c r="A18" s="12" t="s">
        <v>87</v>
      </c>
    </row>
    <row r="19" customFormat="false" ht="15" hidden="false" customHeight="false" outlineLevel="0" collapsed="false">
      <c r="A19" s="12" t="s">
        <v>88</v>
      </c>
    </row>
    <row r="20" customFormat="false" ht="15" hidden="false" customHeight="false" outlineLevel="0" collapsed="false">
      <c r="A20" s="12" t="s">
        <v>89</v>
      </c>
    </row>
    <row r="21" customFormat="false" ht="15" hidden="false" customHeight="false" outlineLevel="0" collapsed="false">
      <c r="A21" s="12" t="s">
        <v>90</v>
      </c>
    </row>
  </sheetData>
  <mergeCells count="2">
    <mergeCell ref="A1:F1"/>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3"/>
  </cols>
  <sheetData>
    <row r="1" customFormat="false" ht="27.75" hidden="false" customHeight="true" outlineLevel="0" collapsed="false">
      <c r="A1" s="2" t="s">
        <v>91</v>
      </c>
      <c r="B1" s="2"/>
      <c r="C1" s="2"/>
      <c r="D1" s="2"/>
      <c r="E1" s="2"/>
      <c r="F1" s="2"/>
    </row>
    <row r="4" customFormat="false" ht="15" hidden="false" customHeight="false" outlineLevel="0" collapsed="false">
      <c r="A4" s="14" t="s">
        <v>92</v>
      </c>
      <c r="B4" s="14" t="s">
        <v>38</v>
      </c>
      <c r="C4" s="14" t="s">
        <v>39</v>
      </c>
      <c r="D4" s="14" t="s">
        <v>40</v>
      </c>
      <c r="E4" s="14" t="s">
        <v>41</v>
      </c>
      <c r="F4" s="14" t="s">
        <v>42</v>
      </c>
    </row>
    <row r="5" customFormat="false" ht="15" hidden="false" customHeight="false" outlineLevel="0" collapsed="false">
      <c r="A5" s="4" t="s">
        <v>93</v>
      </c>
      <c r="B5" s="16" t="n">
        <v>14876</v>
      </c>
      <c r="C5" s="18" t="s">
        <v>47</v>
      </c>
      <c r="D5" s="18" t="s">
        <v>47</v>
      </c>
      <c r="E5" s="18" t="s">
        <v>47</v>
      </c>
      <c r="F5" s="18" t="s">
        <v>47</v>
      </c>
    </row>
    <row r="6" customFormat="false" ht="15" hidden="false" customHeight="false" outlineLevel="0" collapsed="false">
      <c r="A6" s="4" t="s">
        <v>94</v>
      </c>
      <c r="B6" s="16" t="n">
        <v>22077</v>
      </c>
      <c r="C6" s="18" t="s">
        <v>47</v>
      </c>
      <c r="D6" s="18" t="s">
        <v>47</v>
      </c>
      <c r="E6" s="18" t="s">
        <v>47</v>
      </c>
      <c r="F6" s="18" t="s">
        <v>47</v>
      </c>
    </row>
    <row r="7" customFormat="false" ht="15" hidden="false" customHeight="false" outlineLevel="0" collapsed="false">
      <c r="A7" s="4" t="s">
        <v>95</v>
      </c>
      <c r="B7" s="16" t="n">
        <v>14916</v>
      </c>
      <c r="C7" s="18" t="s">
        <v>47</v>
      </c>
      <c r="D7" s="18" t="s">
        <v>47</v>
      </c>
      <c r="E7" s="18" t="s">
        <v>47</v>
      </c>
      <c r="F7" s="18" t="s">
        <v>47</v>
      </c>
    </row>
    <row r="8" customFormat="false" ht="15" hidden="false" customHeight="false" outlineLevel="0" collapsed="false">
      <c r="A8" s="4" t="s">
        <v>96</v>
      </c>
      <c r="B8" s="16" t="n">
        <v>7470</v>
      </c>
      <c r="C8" s="18" t="s">
        <v>47</v>
      </c>
      <c r="D8" s="18" t="s">
        <v>47</v>
      </c>
      <c r="E8" s="18" t="s">
        <v>47</v>
      </c>
      <c r="F8" s="18" t="s">
        <v>47</v>
      </c>
    </row>
    <row r="9" customFormat="false" ht="15" hidden="false" customHeight="false" outlineLevel="0" collapsed="false">
      <c r="A9" s="4" t="s">
        <v>97</v>
      </c>
      <c r="B9" s="18" t="s">
        <v>47</v>
      </c>
      <c r="C9" s="16" t="n">
        <v>32487</v>
      </c>
      <c r="D9" s="18" t="s">
        <v>47</v>
      </c>
      <c r="E9" s="18" t="s">
        <v>47</v>
      </c>
      <c r="F9" s="16" t="n">
        <v>41500</v>
      </c>
    </row>
    <row r="10" customFormat="false" ht="15" hidden="false" customHeight="false" outlineLevel="0" collapsed="false">
      <c r="A10" s="4" t="s">
        <v>98</v>
      </c>
      <c r="B10" s="18" t="s">
        <v>47</v>
      </c>
      <c r="C10" s="16" t="n">
        <v>13376</v>
      </c>
      <c r="D10" s="18" t="s">
        <v>47</v>
      </c>
      <c r="E10" s="18" t="s">
        <v>47</v>
      </c>
      <c r="F10" s="18" t="s">
        <v>47</v>
      </c>
    </row>
    <row r="11" customFormat="false" ht="15" hidden="false" customHeight="false" outlineLevel="0" collapsed="false">
      <c r="A11" s="4" t="s">
        <v>99</v>
      </c>
      <c r="B11" s="18" t="s">
        <v>47</v>
      </c>
      <c r="C11" s="16" t="n">
        <v>1502</v>
      </c>
      <c r="D11" s="18" t="s">
        <v>47</v>
      </c>
      <c r="E11" s="18" t="s">
        <v>47</v>
      </c>
      <c r="F11" s="18" t="s">
        <v>47</v>
      </c>
    </row>
    <row r="12" customFormat="false" ht="15" hidden="false" customHeight="false" outlineLevel="0" collapsed="false">
      <c r="A12" s="3" t="s">
        <v>100</v>
      </c>
      <c r="B12" s="33" t="n">
        <v>59339</v>
      </c>
      <c r="C12" s="33" t="n">
        <v>47365</v>
      </c>
      <c r="D12" s="33" t="n">
        <v>46254</v>
      </c>
      <c r="E12" s="33" t="n">
        <v>53510</v>
      </c>
      <c r="F12" s="33" t="n">
        <v>58280</v>
      </c>
    </row>
    <row r="14" customFormat="false" ht="15" hidden="false" customHeight="false" outlineLevel="0" collapsed="false">
      <c r="A14" s="34" t="s">
        <v>101</v>
      </c>
      <c r="B14" s="34"/>
      <c r="C14" s="34"/>
      <c r="D14" s="34"/>
      <c r="E14" s="34"/>
      <c r="F14" s="34"/>
    </row>
    <row r="15" customFormat="false" ht="15" hidden="false" customHeight="false" outlineLevel="0" collapsed="false">
      <c r="A15" s="34" t="s">
        <v>102</v>
      </c>
      <c r="B15" s="34"/>
      <c r="C15" s="34"/>
      <c r="D15" s="34"/>
      <c r="E15" s="34"/>
      <c r="F15" s="34"/>
    </row>
    <row r="16" customFormat="false" ht="15" hidden="false" customHeight="false" outlineLevel="0" collapsed="false">
      <c r="A16" s="34" t="s">
        <v>103</v>
      </c>
      <c r="B16" s="34"/>
      <c r="C16" s="34"/>
      <c r="D16" s="34"/>
      <c r="E16" s="34"/>
      <c r="F16" s="34"/>
    </row>
    <row r="17" customFormat="false" ht="15" hidden="false" customHeight="false" outlineLevel="0" collapsed="false">
      <c r="A17" s="34" t="s">
        <v>104</v>
      </c>
      <c r="B17" s="34"/>
      <c r="C17" s="34"/>
      <c r="D17" s="34"/>
      <c r="E17" s="34"/>
      <c r="F17" s="34"/>
    </row>
    <row r="18" customFormat="false" ht="15" hidden="false" customHeight="false" outlineLevel="0" collapsed="false">
      <c r="A18" s="34" t="s">
        <v>105</v>
      </c>
      <c r="B18" s="34"/>
      <c r="C18" s="34"/>
      <c r="D18" s="34"/>
      <c r="E18" s="34"/>
      <c r="F18" s="34"/>
    </row>
    <row r="19" customFormat="false" ht="15" hidden="false" customHeight="false" outlineLevel="0" collapsed="false">
      <c r="A19" s="34" t="s">
        <v>106</v>
      </c>
      <c r="B19" s="34"/>
      <c r="C19" s="34"/>
      <c r="D19" s="34"/>
      <c r="E19" s="34"/>
      <c r="F19" s="34"/>
    </row>
    <row r="20" customFormat="false" ht="15" hidden="false" customHeight="false" outlineLevel="0" collapsed="false">
      <c r="A20" s="34" t="s">
        <v>107</v>
      </c>
      <c r="B20" s="34"/>
      <c r="C20" s="34"/>
      <c r="D20" s="34"/>
      <c r="E20" s="34"/>
      <c r="F20" s="34"/>
    </row>
    <row r="21" customFormat="false" ht="15" hidden="false" customHeight="false" outlineLevel="0" collapsed="false">
      <c r="A21" s="34" t="s">
        <v>108</v>
      </c>
      <c r="B21" s="34"/>
      <c r="C21" s="34"/>
      <c r="D21" s="34"/>
      <c r="E21" s="34"/>
      <c r="F21" s="34"/>
    </row>
  </sheetData>
  <mergeCells count="9">
    <mergeCell ref="A1:F1"/>
    <mergeCell ref="A14:F14"/>
    <mergeCell ref="A15:F15"/>
    <mergeCell ref="A16:F16"/>
    <mergeCell ref="A17:F17"/>
    <mergeCell ref="A18:F18"/>
    <mergeCell ref="A19:F19"/>
    <mergeCell ref="A20:F20"/>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70"/>
  </cols>
  <sheetData>
    <row r="1" customFormat="false" ht="27.75" hidden="false" customHeight="true" outlineLevel="0" collapsed="false">
      <c r="A1" s="2" t="s">
        <v>109</v>
      </c>
      <c r="B1" s="2"/>
      <c r="C1" s="2"/>
      <c r="D1" s="2"/>
    </row>
    <row r="3" customFormat="false" ht="15" hidden="false" customHeight="false" outlineLevel="0" collapsed="false">
      <c r="A3" s="3" t="s">
        <v>110</v>
      </c>
      <c r="B3" s="3" t="s">
        <v>111</v>
      </c>
    </row>
    <row r="4" customFormat="false" ht="30" hidden="false" customHeight="true" outlineLevel="0" collapsed="false">
      <c r="A4" s="4" t="s">
        <v>112</v>
      </c>
      <c r="B4" s="35" t="s">
        <v>113</v>
      </c>
    </row>
    <row r="5" customFormat="false" ht="30" hidden="false" customHeight="true" outlineLevel="0" collapsed="false">
      <c r="A5" s="4" t="s">
        <v>114</v>
      </c>
      <c r="B5" s="35" t="s">
        <v>115</v>
      </c>
    </row>
    <row r="6" customFormat="false" ht="30" hidden="false" customHeight="true" outlineLevel="0" collapsed="false">
      <c r="A6" s="4" t="s">
        <v>116</v>
      </c>
      <c r="B6" s="35" t="s">
        <v>117</v>
      </c>
    </row>
    <row r="7" customFormat="false" ht="30" hidden="false" customHeight="true" outlineLevel="0" collapsed="false">
      <c r="A7" s="4" t="s">
        <v>118</v>
      </c>
      <c r="B7" s="35" t="s">
        <v>119</v>
      </c>
    </row>
    <row r="8" customFormat="false" ht="30" hidden="false" customHeight="true" outlineLevel="0" collapsed="false">
      <c r="A8" s="4" t="s">
        <v>120</v>
      </c>
      <c r="B8" s="35" t="s">
        <v>121</v>
      </c>
    </row>
    <row r="9" customFormat="false" ht="30" hidden="false" customHeight="true" outlineLevel="0" collapsed="false">
      <c r="A9" s="4" t="s">
        <v>122</v>
      </c>
      <c r="B9" s="35" t="s">
        <v>123</v>
      </c>
    </row>
    <row r="10" customFormat="false" ht="30" hidden="false" customHeight="true" outlineLevel="0" collapsed="false">
      <c r="A10" s="4" t="s">
        <v>124</v>
      </c>
      <c r="B10" s="35" t="s">
        <v>125</v>
      </c>
    </row>
    <row r="11" customFormat="false" ht="30" hidden="false" customHeight="true" outlineLevel="0" collapsed="false">
      <c r="A11" s="4" t="s">
        <v>126</v>
      </c>
      <c r="B11" s="35" t="s">
        <v>127</v>
      </c>
    </row>
    <row r="12" customFormat="false" ht="30" hidden="false" customHeight="true" outlineLevel="0" collapsed="false">
      <c r="A12" s="4" t="s">
        <v>128</v>
      </c>
      <c r="B12" s="35" t="s">
        <v>129</v>
      </c>
    </row>
    <row r="13" customFormat="false" ht="30" hidden="false" customHeight="true" outlineLevel="0" collapsed="false">
      <c r="A13" s="4" t="s">
        <v>130</v>
      </c>
      <c r="B13" s="35" t="s">
        <v>131</v>
      </c>
    </row>
    <row r="14" customFormat="false" ht="30" hidden="false" customHeight="true" outlineLevel="0" collapsed="false">
      <c r="A14" s="4" t="s">
        <v>132</v>
      </c>
      <c r="B14" s="35" t="s">
        <v>133</v>
      </c>
    </row>
    <row r="15" customFormat="false" ht="30" hidden="false" customHeight="true" outlineLevel="0" collapsed="false">
      <c r="A15" s="4" t="s">
        <v>134</v>
      </c>
      <c r="B15" s="35" t="s">
        <v>135</v>
      </c>
    </row>
    <row r="17" customFormat="false" ht="15" hidden="false" customHeight="true" outlineLevel="0" collapsed="false">
      <c r="A17" s="13" t="s">
        <v>136</v>
      </c>
      <c r="B17" s="13"/>
      <c r="C17" s="13"/>
      <c r="D17" s="13"/>
      <c r="E17" s="13"/>
      <c r="F17" s="13"/>
    </row>
    <row r="18" customFormat="false" ht="15" hidden="false" customHeight="false" outlineLevel="0" collapsed="false">
      <c r="A18" s="13"/>
      <c r="B18" s="13"/>
      <c r="C18" s="13"/>
      <c r="D18" s="13"/>
      <c r="E18" s="13"/>
      <c r="F18" s="13"/>
    </row>
    <row r="19" customFormat="false" ht="15" hidden="false" customHeight="false" outlineLevel="0" collapsed="false">
      <c r="A19" s="13"/>
      <c r="B19" s="13"/>
      <c r="C19" s="13"/>
      <c r="D19" s="13"/>
      <c r="E19" s="13"/>
      <c r="F19" s="13"/>
    </row>
    <row r="20" customFormat="false" ht="15" hidden="false" customHeight="false" outlineLevel="0" collapsed="false">
      <c r="A20" s="13"/>
      <c r="B20" s="13"/>
      <c r="C20" s="13"/>
      <c r="D20" s="13"/>
      <c r="E20" s="13"/>
      <c r="F20" s="13"/>
    </row>
  </sheetData>
  <mergeCells count="2">
    <mergeCell ref="A1:D1"/>
    <mergeCell ref="A17: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2026-07-03T20:02:44Z</dcterms:created>
  <dc:creator>openpyxl</dc:creator>
  <dc:description/>
  <dc:language>en-US</dc:language>
  <cp:lastModifiedBy/>
  <dcterms:modified xsi:type="dcterms:W3CDTF">2026-07-03T20:03:40Z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