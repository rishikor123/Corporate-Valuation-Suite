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Income Statement Proj." sheetId="2" state="visible" r:id="rId4"/>
    <sheet name="Capital &amp; Shares" sheetId="3" state="visible" r:id="rId5"/>
    <sheet name="Scenario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<sst xmlns="http://schemas.openxmlformats.org/spreadsheetml/2006/main" count="161" uniqueCount="96">
  <si>
    <t xml:space="preserve">Integrated Model Assumptions — Bear / Base / Bull Drivers, FY2026E-FY2030E</t>
  </si>
  <si>
    <t xml:space="preserve">ACTIVE SCENARIO (type Bear / Base / Bull):</t>
  </si>
  <si>
    <t xml:space="preserve">Base</t>
  </si>
  <si>
    <t xml:space="preserve">Bear Case drivers</t>
  </si>
  <si>
    <t xml:space="preserve">Fiscal Year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</si>
  <si>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</si>
  <si>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</si>
  <si>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</si>
  <si>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</si>
  <si>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</si>
  <si>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Net revenue growth %</t>
  </si>
  <si>
    <t xml:space="preserve">Efficiency ratio (Opex / Revenue)</t>
  </si>
  <si>
    <t xml:space="preserve">Effective tax rate</t>
  </si>
  <si>
    <t xml:space="preserve">Total payout ratio (div + buyback / NI to common)</t>
  </si>
  <si>
    <t xml:space="preserve">Balance sheet / RWA growth rate (equity retention driver)</t>
  </si>
  <si>
    <t xml:space="preserve">Terminal growth rate (Gordon growth, post-2030E)</t>
  </si>
  <si>
    <t xml:space="preserve">Cost of equity (CAPM)</t>
  </si>
  <si>
    <t xml:space="preserve">Base Case drivers</t>
  </si>
  <si>
    <t xml:space="preserve">Bull Case drivers</t>
  </si>
  <si>
    <t xml:space="preserve">ACTIVE DRIVERS (auto-selected from B3)</t>
  </si>
  <si>
    <t xml:space="preserve">Efficiency ratio</t>
  </si>
  <si>
    <t xml:space="preserve">Total payout ratio</t>
  </si>
  <si>
    <t xml:space="preserve">Balance sheet / RWA growth (equity retention driver)</t>
  </si>
  <si>
    <t xml:space="preserve">Terminal growth rate</t>
  </si>
  <si>
    <t xml:space="preserve">Preferred dividends, held flat ($mm/yr)</t>
  </si>
  <si>
    <t xml:space="preserve">Current Price / Book multiple (buyback execution price proxy)</t>
  </si>
  <si>
    <t xml:space="preserve">Dividend share of total payout (vs. buybacks), historical avg</t>
  </si>
  <si>
    <t xml:space="preserve">METHODOLOGY NOTE: Goldman Sachs is a bank holding company; a traditional industrial 3-statement</t>
  </si>
  <si>
    <t xml:space="preserve">model (full working-capital-driven balance sheet) is not the way banks are modeled in practice.</t>
  </si>
  <si>
    <t xml:space="preserve">Assets/liabilities are financial inventory, not operating capital, so this model uses the</t>
  </si>
  <si>
    <t xml:space="preserve">industry-standard bank equivalent: an integrated Income Statement -&gt; Common Equity Roll-Forward</t>
  </si>
  <si>
    <t xml:space="preserve">-&gt; Shares Outstanding walk, all linked through net earnings, payout policy, and required capital</t>
  </si>
  <si>
    <t xml:space="preserve">retention to support balance-sheet/RWA growth. This is the same architecture used in bank equity</t>
  </si>
  <si>
    <t xml:space="preserve">research models (see e.g. Damodaran's bank DCF framework) and is fully sufficient to drive EPS,</t>
  </si>
  <si>
    <t xml:space="preserve">BVPS, ROE, dividends, buybacks and a defensible DCF / reverse-DCF for a G-SIB like GS.</t>
  </si>
  <si>
    <t xml:space="preserve">Projected Income Statement, FY2026E-FY2030E ($ in millions, except per share)</t>
  </si>
  <si>
    <t xml:space="preserve">($ in millions except per share; 2025A shown for reference)</t>
  </si>
  <si>
    <t xml:space="preserve">2025A</t>
  </si>
  <si>
    <t xml:space="preserve">Net revenues</t>
  </si>
  <si>
    <t xml:space="preserve">  % growth YoY</t>
  </si>
  <si>
    <t xml:space="preserve">Operating expenses</t>
  </si>
  <si>
    <t xml:space="preserve">Pre-tax earnings</t>
  </si>
  <si>
    <t xml:space="preserve">Provision for taxes</t>
  </si>
  <si>
    <t xml:space="preserve">Net earnings</t>
  </si>
  <si>
    <t xml:space="preserve">Less: preferred dividends</t>
  </si>
  <si>
    <t xml:space="preserve">Net earnings applicable to common shareholders</t>
  </si>
  <si>
    <t xml:space="preserve">Diluted weighted-average shares (mm) [linked]</t>
  </si>
  <si>
    <t xml:space="preserve">Diluted EPS</t>
  </si>
  <si>
    <t xml:space="preserve">Net margin</t>
  </si>
  <si>
    <t xml:space="preserve">Formula flow: Net revenues grow off Assumptions active drivers -&gt; Opex = Revenue x efficiency ratio</t>
  </si>
  <si>
    <t xml:space="preserve">-&gt; Pre-tax = Revenue - Opex -&gt; Tax = Pre-tax x tax rate -&gt; Net earnings -&gt; less preferred dividends</t>
  </si>
  <si>
    <t xml:space="preserve">-&gt; Net earnings to common. Diluted shares link FROM the Capital &amp; Shares tab (green cells = links).</t>
  </si>
  <si>
    <t xml:space="preserve">No circularity: shares/BVPS depend on Net earnings to common, which is computed independently above.</t>
  </si>
  <si>
    <t xml:space="preserve">Common Equity &amp; Diluted Shares Roll-Forward, FY2026E-FY2030E</t>
  </si>
  <si>
    <t xml:space="preserve">($ in millions except per share; shares in millions; 2025A shown for reference)</t>
  </si>
  <si>
    <t xml:space="preserve">Beginning common equity</t>
  </si>
  <si>
    <t xml:space="preserve">Net earnings applicable to common [linked]</t>
  </si>
  <si>
    <t xml:space="preserve">Total capital returned (payout ratio x NI to common)</t>
  </si>
  <si>
    <t xml:space="preserve">  Common dividends</t>
  </si>
  <si>
    <t xml:space="preserve">  Share repurchases ($)</t>
  </si>
  <si>
    <t xml:space="preserve">Ending common equity</t>
  </si>
  <si>
    <t xml:space="preserve">Beginning diluted shares (mm)</t>
  </si>
  <si>
    <t xml:space="preserve">Assumed repurchase price / share</t>
  </si>
  <si>
    <t xml:space="preserve">Shares repurchased (mm)</t>
  </si>
  <si>
    <t xml:space="preserve">Ending diluted shares (mm)</t>
  </si>
  <si>
    <t xml:space="preserve">Average diluted shares (mm) [feeds EPS]</t>
  </si>
  <si>
    <t xml:space="preserve">Book value per share (ending)</t>
  </si>
  <si>
    <t xml:space="preserve">Return on average common equity</t>
  </si>
  <si>
    <t xml:space="preserve">Dividend per share</t>
  </si>
  <si>
    <t xml:space="preserve">Equity roll-forward: Ending equity = Beginning equity + Net income to common - Total capital</t>
  </si>
  <si>
    <t xml:space="preserve">returned (dividends + buybacks). Buyback $ / assumed repurchase price (BVPS x current P/B multiple)</t>
  </si>
  <si>
    <t xml:space="preserve">shares repurchased -&gt; ending shares -&gt; bvps and roe fall out mechanically. average shares feed</t>
  </si>
  <si>
    <t xml:space="preserve">diluted EPS on the Income Statement Proj. tab (see green-linked cells there).</t>
  </si>
  <si>
    <t xml:space="preserve">Bull / Base / Bear — Full 5-Year Projection Comparison, FY2026E-FY2030E</t>
  </si>
  <si>
    <t xml:space="preserve">Bear Case</t>
  </si>
  <si>
    <t xml:space="preserve">Base Case</t>
  </si>
  <si>
    <t xml:space="preserve">Bull Case</t>
  </si>
  <si>
    <t xml:space="preserve">Net revenues ($mm)</t>
  </si>
  <si>
    <t xml:space="preserve">Net earnings to common ($mm)</t>
  </si>
  <si>
    <t xml:space="preserve">Ending common equity ($mm)</t>
  </si>
  <si>
    <t xml:space="preserve">Diluted EPS ($)</t>
  </si>
  <si>
    <t xml:space="preserve">Book value / share ($)</t>
  </si>
  <si>
    <t xml:space="preserve">Return on average common equity (%)</t>
  </si>
  <si>
    <t xml:space="preserve">Terminal-Year (2030E) Snapshot</t>
  </si>
  <si>
    <t xml:space="preserve">Scenario</t>
  </si>
  <si>
    <t xml:space="preserve">2030E EPS ($)</t>
  </si>
  <si>
    <t xml:space="preserve">2030E BVPS ($)</t>
  </si>
  <si>
    <t xml:space="preserve">2030E ROE (%)</t>
  </si>
  <si>
    <t xml:space="preserve">2030E Net Revenues ($mm)</t>
  </si>
  <si>
    <t xml:space="preserve">Bear</t>
  </si>
  <si>
    <t xml:space="preserve">Bull</t>
  </si>
  <si>
    <t xml:space="preserve">This tab independently replicates the Bear/Base/Bull assumption chains from the Assumptions tab</t>
  </si>
  <si>
    <t xml:space="preserve">(rather than reading the single 'active' scenario used elsewhere), so all three cases can be</t>
  </si>
  <si>
    <t xml:space="preserve">compared side by side without toggling cell B3 on the Assumptions tab. Toggling B3 changes the</t>
  </si>
  <si>
    <t xml:space="preserve">single live scenario flowing through the Income Statement Proj. and Capital &amp; Shares tabs, and the</t>
  </si>
  <si>
    <t xml:space="preserve">DCF / Reverse DCF workbook keys off that same selector for its base-case path.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</si>
</sst>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;\(0.0%\);\-"/>
    <numFmt numFmtId="166" formatCode="0.00%;\(0.00%\);\-"/>
    <numFmt numFmtId="167" formatCode="\$#,##0;&quot;($&quot;#,##0\);\-"/>
    <numFmt numFmtId="168" formatCode="0.00\x"/>
    <numFmt numFmtId="169" formatCode="#,##0.0"/>
    <numFmt numFmtId="170" formatCode="\$#,##0.00;&quot;($&quot;#,##0.0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6E0B4"/>
      </patternFill>
    </fill>
    <fill>
      <patternFill patternType="solid">
        <fgColor rgb="FFF8CBAD"/>
        <bgColor rgb="FFC6E0B4"/>
      </patternFill>
    </fill>
    <fill>
      <patternFill patternType="solid">
        <fgColor rgb="FFC6E0B4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7" min="3" style="1" width="11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1</v>
      </c>
      <c r="B3" s="4" t="s">
        <v>2</v>
      </c>
    </row>
    <row r="5" customFormat="false" ht="15" hidden="false" customHeight="true" outlineLevel="0" collapsed="false">
      <c r="A5" s="5" t="s">
        <v>3</v>
      </c>
      <c r="B5" s="5"/>
      <c r="C5" s="5"/>
      <c r="D5" s="5"/>
      <c r="E5" s="5"/>
      <c r="F5" s="5"/>
    </row>
    <row r="6" customFormat="false" ht="15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 customFormat="false" ht="15" hidden="false" customHeight="true" outlineLevel="0" collapsed="false">
      <c r="A7" s="7" t="s">
        <v>10</v>
      </c>
      <c r="B7" s="8" t="n">
        <v>-0.03</v>
      </c>
      <c r="C7" s="8" t="n">
        <v>0.01</v>
      </c>
      <c r="D7" s="8" t="n">
        <v>0.02</v>
      </c>
      <c r="E7" s="8" t="n">
        <v>0.02</v>
      </c>
      <c r="F7" s="8" t="n">
        <v>0.02</v>
      </c>
    </row>
    <row r="8" customFormat="false" ht="15" hidden="false" customHeight="true" outlineLevel="0" collapsed="false">
      <c r="A8" s="7" t="s">
        <v>11</v>
      </c>
      <c r="B8" s="8" t="n">
        <v>0.68</v>
      </c>
      <c r="C8" s="8" t="n">
        <v>0.67</v>
      </c>
      <c r="D8" s="8" t="n">
        <v>0.66</v>
      </c>
      <c r="E8" s="8" t="n">
        <v>0.66</v>
      </c>
      <c r="F8" s="8" t="n">
        <v>0.66</v>
      </c>
    </row>
    <row r="9" customFormat="false" ht="15" hidden="false" customHeight="true" outlineLevel="0" collapsed="false">
      <c r="A9" s="7" t="s">
        <v>12</v>
      </c>
      <c r="B9" s="8" t="n">
        <v>0.23</v>
      </c>
    </row>
    <row r="10" customFormat="false" ht="15" hidden="false" customHeight="true" outlineLevel="0" collapsed="false">
      <c r="A10" s="7" t="s">
        <v>13</v>
      </c>
      <c r="B10" s="8" t="n">
        <v>0.55</v>
      </c>
    </row>
    <row r="11" customFormat="false" ht="15" hidden="false" customHeight="true" outlineLevel="0" collapsed="false">
      <c r="A11" s="7" t="s">
        <v>14</v>
      </c>
      <c r="B11" s="8" t="n">
        <v>0.02</v>
      </c>
    </row>
    <row r="12" customFormat="false" ht="15" hidden="false" customHeight="true" outlineLevel="0" collapsed="false">
      <c r="A12" s="7" t="s">
        <v>15</v>
      </c>
      <c r="B12" s="9" t="n">
        <v>0.02</v>
      </c>
    </row>
    <row r="13" customFormat="false" ht="15" hidden="false" customHeight="true" outlineLevel="0" collapsed="false">
      <c r="A13" s="7" t="s">
        <v>16</v>
      </c>
      <c r="B13" s="9" t="n">
        <v>0.115</v>
      </c>
    </row>
    <row r="15" customFormat="false" ht="15" hidden="false" customHeight="true" outlineLevel="0" collapsed="false">
      <c r="A15" s="5" t="s">
        <v>17</v>
      </c>
      <c r="B15" s="5"/>
      <c r="C15" s="5"/>
      <c r="D15" s="5"/>
      <c r="E15" s="5"/>
      <c r="F15" s="5"/>
    </row>
    <row r="16" customFormat="false" ht="15" hidden="false" customHeight="true" outlineLevel="0" collapsed="false">
      <c r="A16" s="6" t="s">
        <v>4</v>
      </c>
      <c r="B16" s="6" t="s">
        <v>5</v>
      </c>
      <c r="C16" s="6" t="s">
        <v>6</v>
      </c>
      <c r="D16" s="6" t="s">
        <v>7</v>
      </c>
      <c r="E16" s="6" t="s">
        <v>8</v>
      </c>
      <c r="F16" s="6" t="s">
        <v>9</v>
      </c>
    </row>
    <row r="17" customFormat="false" ht="15" hidden="false" customHeight="true" outlineLevel="0" collapsed="false">
      <c r="A17" s="7" t="s">
        <v>10</v>
      </c>
      <c r="B17" s="8" t="n">
        <v>0.06</v>
      </c>
      <c r="C17" s="8" t="n">
        <v>0.05</v>
      </c>
      <c r="D17" s="8" t="n">
        <v>0.05</v>
      </c>
      <c r="E17" s="8" t="n">
        <v>0.045</v>
      </c>
      <c r="F17" s="8" t="n">
        <v>0.045</v>
      </c>
    </row>
    <row r="18" customFormat="false" ht="15" hidden="false" customHeight="true" outlineLevel="0" collapsed="false">
      <c r="A18" s="7" t="s">
        <v>11</v>
      </c>
      <c r="B18" s="8" t="n">
        <v>0.63</v>
      </c>
      <c r="C18" s="8" t="n">
        <v>0.62</v>
      </c>
      <c r="D18" s="8" t="n">
        <v>0.615</v>
      </c>
      <c r="E18" s="8" t="n">
        <v>0.61</v>
      </c>
      <c r="F18" s="8" t="n">
        <v>0.61</v>
      </c>
    </row>
    <row r="19" customFormat="false" ht="15" hidden="false" customHeight="true" outlineLevel="0" collapsed="false">
      <c r="A19" s="7" t="s">
        <v>12</v>
      </c>
      <c r="B19" s="8" t="n">
        <v>0.22</v>
      </c>
    </row>
    <row r="20" customFormat="false" ht="15" hidden="false" customHeight="true" outlineLevel="0" collapsed="false">
      <c r="A20" s="7" t="s">
        <v>13</v>
      </c>
      <c r="B20" s="8" t="n">
        <v>0.65</v>
      </c>
    </row>
    <row r="21" customFormat="false" ht="15" hidden="false" customHeight="true" outlineLevel="0" collapsed="false">
      <c r="A21" s="7" t="s">
        <v>14</v>
      </c>
      <c r="B21" s="8" t="n">
        <v>0.04</v>
      </c>
    </row>
    <row r="22" customFormat="false" ht="15" hidden="false" customHeight="true" outlineLevel="0" collapsed="false">
      <c r="A22" s="7" t="s">
        <v>15</v>
      </c>
      <c r="B22" s="9" t="n">
        <v>0.03</v>
      </c>
    </row>
    <row r="23" customFormat="false" ht="15" hidden="false" customHeight="true" outlineLevel="0" collapsed="false">
      <c r="A23" s="7" t="s">
        <v>16</v>
      </c>
      <c r="B23" s="9" t="n">
        <v>0.108</v>
      </c>
    </row>
    <row r="25" customFormat="false" ht="15" hidden="false" customHeight="true" outlineLevel="0" collapsed="false">
      <c r="A25" s="5" t="s">
        <v>18</v>
      </c>
      <c r="B25" s="5"/>
      <c r="C25" s="5"/>
      <c r="D25" s="5"/>
      <c r="E25" s="5"/>
      <c r="F25" s="5"/>
    </row>
    <row r="26" customFormat="false" ht="15" hidden="false" customHeight="true" outlineLevel="0" collapsed="false">
      <c r="A26" s="6" t="s">
        <v>4</v>
      </c>
      <c r="B26" s="6" t="s">
        <v>5</v>
      </c>
      <c r="C26" s="6" t="s">
        <v>6</v>
      </c>
      <c r="D26" s="6" t="s">
        <v>7</v>
      </c>
      <c r="E26" s="6" t="s">
        <v>8</v>
      </c>
      <c r="F26" s="6" t="s">
        <v>9</v>
      </c>
    </row>
    <row r="27" customFormat="false" ht="15" hidden="false" customHeight="true" outlineLevel="0" collapsed="false">
      <c r="A27" s="7" t="s">
        <v>10</v>
      </c>
      <c r="B27" s="8" t="n">
        <v>0.11</v>
      </c>
      <c r="C27" s="8" t="n">
        <v>0.09</v>
      </c>
      <c r="D27" s="8" t="n">
        <v>0.08</v>
      </c>
      <c r="E27" s="8" t="n">
        <v>0.07</v>
      </c>
      <c r="F27" s="8" t="n">
        <v>0.065</v>
      </c>
    </row>
    <row r="28" customFormat="false" ht="15" hidden="false" customHeight="true" outlineLevel="0" collapsed="false">
      <c r="A28" s="7" t="s">
        <v>11</v>
      </c>
      <c r="B28" s="8" t="n">
        <v>0.6</v>
      </c>
      <c r="C28" s="8" t="n">
        <v>0.585</v>
      </c>
      <c r="D28" s="8" t="n">
        <v>0.575</v>
      </c>
      <c r="E28" s="8" t="n">
        <v>0.57</v>
      </c>
      <c r="F28" s="8" t="n">
        <v>0.565</v>
      </c>
    </row>
    <row r="29" customFormat="false" ht="15" hidden="false" customHeight="true" outlineLevel="0" collapsed="false">
      <c r="A29" s="7" t="s">
        <v>12</v>
      </c>
      <c r="B29" s="8" t="n">
        <v>0.21</v>
      </c>
    </row>
    <row r="30" customFormat="false" ht="15" hidden="false" customHeight="true" outlineLevel="0" collapsed="false">
      <c r="A30" s="7" t="s">
        <v>13</v>
      </c>
      <c r="B30" s="8" t="n">
        <v>0.75</v>
      </c>
    </row>
    <row r="31" customFormat="false" ht="15" hidden="false" customHeight="true" outlineLevel="0" collapsed="false">
      <c r="A31" s="7" t="s">
        <v>14</v>
      </c>
      <c r="B31" s="8" t="n">
        <v>0.06</v>
      </c>
    </row>
    <row r="32" customFormat="false" ht="15" hidden="false" customHeight="true" outlineLevel="0" collapsed="false">
      <c r="A32" s="7" t="s">
        <v>15</v>
      </c>
      <c r="B32" s="9" t="n">
        <v>0.035</v>
      </c>
    </row>
    <row r="33" customFormat="false" ht="15" hidden="false" customHeight="true" outlineLevel="0" collapsed="false">
      <c r="A33" s="7" t="s">
        <v>16</v>
      </c>
      <c r="B33" s="9" t="n">
        <v>0.101</v>
      </c>
    </row>
    <row r="36" customFormat="false" ht="15" hidden="false" customHeight="true" outlineLevel="0" collapsed="false">
      <c r="A36" s="5" t="s">
        <v>19</v>
      </c>
      <c r="B36" s="5"/>
      <c r="C36" s="5"/>
      <c r="D36" s="5"/>
      <c r="E36" s="5"/>
      <c r="F36" s="5"/>
    </row>
    <row r="37" customFormat="false" ht="15" hidden="false" customHeight="true" outlineLevel="0" collapsed="false">
      <c r="A37" s="6" t="s">
        <v>4</v>
      </c>
      <c r="B37" s="6" t="s">
        <v>5</v>
      </c>
      <c r="C37" s="6" t="s">
        <v>6</v>
      </c>
      <c r="D37" s="6" t="s">
        <v>7</v>
      </c>
      <c r="E37" s="6" t="s">
        <v>8</v>
      </c>
      <c r="F37" s="6" t="s">
        <v>9</v>
      </c>
    </row>
    <row r="38" customFormat="false" ht="15" hidden="false" customHeight="true" outlineLevel="0" collapsed="false">
      <c r="A38" s="3" t="s">
        <v>10</v>
      </c>
      <c r="B38" s="10" t="n">
        <f aca="false">IF($B$3="Bear",B7,IF($B$3="Base",B17,B27))</f>
        <v>0.06</v>
      </c>
      <c r="C38" s="10" t="n">
        <f aca="false">IF($B$3="Bear",C7,IF($B$3="Base",C17,C27))</f>
        <v>0.05</v>
      </c>
      <c r="D38" s="10" t="n">
        <f aca="false">IF($B$3="Bear",D7,IF($B$3="Base",D17,D27))</f>
        <v>0.05</v>
      </c>
      <c r="E38" s="10" t="n">
        <f aca="false">IF($B$3="Bear",E7,IF($B$3="Base",E17,E27))</f>
        <v>0.045</v>
      </c>
      <c r="F38" s="10" t="n">
        <f aca="false">IF($B$3="Bear",F7,IF($B$3="Base",F17,F27))</f>
        <v>0.045</v>
      </c>
    </row>
    <row r="39" customFormat="false" ht="15" hidden="false" customHeight="true" outlineLevel="0" collapsed="false">
      <c r="A39" s="3" t="s">
        <v>20</v>
      </c>
      <c r="B39" s="10" t="n">
        <f aca="false">IF($B$3="Bear",B8,IF($B$3="Base",B18,B28))</f>
        <v>0.63</v>
      </c>
      <c r="C39" s="10" t="n">
        <f aca="false">IF($B$3="Bear",C8,IF($B$3="Base",C18,C28))</f>
        <v>0.62</v>
      </c>
      <c r="D39" s="10" t="n">
        <f aca="false">IF($B$3="Bear",D8,IF($B$3="Base",D18,D28))</f>
        <v>0.615</v>
      </c>
      <c r="E39" s="10" t="n">
        <f aca="false">IF($B$3="Bear",E8,IF($B$3="Base",E18,E28))</f>
        <v>0.61</v>
      </c>
      <c r="F39" s="10" t="n">
        <f aca="false">IF($B$3="Bear",F8,IF($B$3="Base",F18,F28))</f>
        <v>0.61</v>
      </c>
    </row>
    <row r="40" customFormat="false" ht="15" hidden="false" customHeight="true" outlineLevel="0" collapsed="false">
      <c r="A40" s="3" t="s">
        <v>12</v>
      </c>
      <c r="B40" s="10" t="n">
        <f aca="false">IF($B$3="Bear",B9,IF($B$3="Base",B19,B29))</f>
        <v>0.22</v>
      </c>
    </row>
    <row r="41" customFormat="false" ht="15" hidden="false" customHeight="true" outlineLevel="0" collapsed="false">
      <c r="A41" s="3" t="s">
        <v>21</v>
      </c>
      <c r="B41" s="10" t="n">
        <f aca="false">IF($B$3="Bear",B10,IF($B$3="Base",B20,B30))</f>
        <v>0.65</v>
      </c>
    </row>
    <row r="42" customFormat="false" ht="15" hidden="false" customHeight="true" outlineLevel="0" collapsed="false">
      <c r="A42" s="3" t="s">
        <v>22</v>
      </c>
      <c r="B42" s="10" t="n">
        <f aca="false">IF($B$3="Bear",B11,IF($B$3="Base",B21,B31))</f>
        <v>0.04</v>
      </c>
    </row>
    <row r="43" customFormat="false" ht="15" hidden="false" customHeight="true" outlineLevel="0" collapsed="false">
      <c r="A43" s="3" t="s">
        <v>23</v>
      </c>
      <c r="B43" s="11" t="n">
        <f aca="false">IF($B$3="Bear",B12,IF($B$3="Base",B22,B32))</f>
        <v>0.03</v>
      </c>
    </row>
    <row r="44" customFormat="false" ht="15" hidden="false" customHeight="true" outlineLevel="0" collapsed="false">
      <c r="A44" s="3" t="s">
        <v>16</v>
      </c>
      <c r="B44" s="11" t="n">
        <f aca="false">IF($B$3="Bear",B13,IF($B$3="Base",B23,B33))</f>
        <v>0.108</v>
      </c>
    </row>
    <row r="46" customFormat="false" ht="15" hidden="false" customHeight="true" outlineLevel="0" collapsed="false">
      <c r="A46" s="3" t="s">
        <v>24</v>
      </c>
      <c r="B46" s="12" t="n">
        <v>900</v>
      </c>
    </row>
    <row r="47" customFormat="false" ht="15" hidden="false" customHeight="true" outlineLevel="0" collapsed="false">
      <c r="A47" s="3" t="s">
        <v>25</v>
      </c>
      <c r="B47" s="13" t="n">
        <v>2.85824944071588</v>
      </c>
    </row>
    <row r="48" customFormat="false" ht="15" hidden="false" customHeight="true" outlineLevel="0" collapsed="false">
      <c r="A48" s="3" t="s">
        <v>26</v>
      </c>
      <c r="B48" s="8" t="n">
        <v>0.28</v>
      </c>
    </row>
    <row r="50" customFormat="false" ht="15" hidden="false" customHeight="true" outlineLevel="0" collapsed="false">
      <c r="A50" s="14" t="s">
        <v>27</v>
      </c>
      <c r="B50" s="14"/>
      <c r="C50" s="14"/>
      <c r="D50" s="14"/>
      <c r="E50" s="14"/>
      <c r="F50" s="14"/>
      <c r="G50" s="14"/>
      <c r="H50" s="14"/>
    </row>
    <row r="51" customFormat="false" ht="15" hidden="false" customHeight="true" outlineLevel="0" collapsed="false">
      <c r="A51" s="14" t="s">
        <v>28</v>
      </c>
      <c r="B51" s="14"/>
      <c r="C51" s="14"/>
      <c r="D51" s="14"/>
      <c r="E51" s="14"/>
      <c r="F51" s="14"/>
      <c r="G51" s="14"/>
      <c r="H51" s="14"/>
    </row>
    <row r="52" customFormat="false" ht="15" hidden="false" customHeight="true" outlineLevel="0" collapsed="false">
      <c r="A52" s="14" t="s">
        <v>29</v>
      </c>
      <c r="B52" s="14"/>
      <c r="C52" s="14"/>
      <c r="D52" s="14"/>
      <c r="E52" s="14"/>
      <c r="F52" s="14"/>
      <c r="G52" s="14"/>
      <c r="H52" s="14"/>
    </row>
    <row r="53" customFormat="false" ht="15" hidden="false" customHeight="true" outlineLevel="0" collapsed="false">
      <c r="A53" s="14" t="s">
        <v>30</v>
      </c>
      <c r="B53" s="14"/>
      <c r="C53" s="14"/>
      <c r="D53" s="14"/>
      <c r="E53" s="14"/>
      <c r="F53" s="14"/>
      <c r="G53" s="14"/>
      <c r="H53" s="14"/>
    </row>
    <row r="54" customFormat="false" ht="15" hidden="false" customHeight="true" outlineLevel="0" collapsed="false">
      <c r="A54" s="14" t="s">
        <v>31</v>
      </c>
      <c r="B54" s="14"/>
      <c r="C54" s="14"/>
      <c r="D54" s="14"/>
      <c r="E54" s="14"/>
      <c r="F54" s="14"/>
      <c r="G54" s="14"/>
      <c r="H54" s="14"/>
    </row>
    <row r="55" customFormat="false" ht="15" hidden="false" customHeight="true" outlineLevel="0" collapsed="false">
      <c r="A55" s="14" t="s">
        <v>32</v>
      </c>
      <c r="B55" s="14"/>
      <c r="C55" s="14"/>
      <c r="D55" s="14"/>
      <c r="E55" s="14"/>
      <c r="F55" s="14"/>
      <c r="G55" s="14"/>
      <c r="H55" s="14"/>
    </row>
    <row r="56" customFormat="false" ht="15" hidden="false" customHeight="true" outlineLevel="0" collapsed="false">
      <c r="A56" s="14" t="s">
        <v>33</v>
      </c>
      <c r="B56" s="14"/>
      <c r="C56" s="14"/>
      <c r="D56" s="14"/>
      <c r="E56" s="14"/>
      <c r="F56" s="14"/>
      <c r="G56" s="14"/>
      <c r="H56" s="14"/>
    </row>
    <row r="57" customFormat="false" ht="15" hidden="false" customHeight="true" outlineLevel="0" collapsed="false">
      <c r="A57" s="14" t="s">
        <v>34</v>
      </c>
      <c r="B57" s="14"/>
      <c r="C57" s="14"/>
      <c r="D57" s="14"/>
      <c r="E57" s="14"/>
      <c r="F57" s="14"/>
      <c r="G57" s="14"/>
      <c r="H57" s="14"/>
    </row>
  </sheetData>
  <mergeCells count="13">
    <mergeCell ref="A1:H1"/>
    <mergeCell ref="A5:F5"/>
    <mergeCell ref="A15:F15"/>
    <mergeCell ref="A25:F25"/>
    <mergeCell ref="A36:F36"/>
    <mergeCell ref="A50:H50"/>
    <mergeCell ref="A51:H51"/>
    <mergeCell ref="A52:H52"/>
    <mergeCell ref="A53:H53"/>
    <mergeCell ref="A54:H54"/>
    <mergeCell ref="A55:H55"/>
    <mergeCell ref="A56:H56"/>
    <mergeCell ref="A57:H57"/>
  </mergeCells>
  <dataValidations count="1">
    <dataValidation allowBlank="false" errorStyle="stop" operator="between" showDropDown="false" showErrorMessage="false" showInputMessage="false" sqref="B3" type="list">
      <formula1>"Bear,Base,Bull"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7" min="2" style="1" width="13"/>
  </cols>
  <sheetData>
    <row r="1" customFormat="false" ht="27.75" hidden="false" customHeight="true" outlineLevel="0" collapsed="false">
      <c r="A1" s="2" t="s">
        <v>35</v>
      </c>
      <c r="B1" s="2"/>
      <c r="C1" s="2"/>
      <c r="D1" s="2"/>
      <c r="E1" s="2"/>
      <c r="F1" s="2"/>
      <c r="G1" s="2"/>
    </row>
    <row r="4" customFormat="false" ht="15" hidden="false" customHeight="true" outlineLevel="0" collapsed="false">
      <c r="A4" s="15" t="s">
        <v>36</v>
      </c>
    </row>
    <row r="5" customFormat="false" ht="15" hidden="false" customHeight="true" outlineLevel="0" collapsed="false">
      <c r="A5" s="6" t="s">
        <v>4</v>
      </c>
      <c r="B5" s="6" t="s">
        <v>37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</row>
    <row r="6" customFormat="false" ht="15" hidden="false" customHeight="true" outlineLevel="0" collapsed="false">
      <c r="A6" s="3" t="s">
        <v>38</v>
      </c>
      <c r="B6" s="16" t="n">
        <v>58280</v>
      </c>
      <c r="C6" s="17" t="n">
        <f aca="false">B6*(1+Assumptions!B38)</f>
        <v>61776.8</v>
      </c>
      <c r="D6" s="17" t="n">
        <f aca="false">C6*(1+Assumptions!C38)</f>
        <v>64865.64</v>
      </c>
      <c r="E6" s="17" t="n">
        <f aca="false">D6*(1+Assumptions!D38)</f>
        <v>68108.922</v>
      </c>
      <c r="F6" s="17" t="n">
        <f aca="false">E6*(1+Assumptions!E38)</f>
        <v>71173.82349</v>
      </c>
      <c r="G6" s="17" t="n">
        <f aca="false">F6*(1+Assumptions!F38)</f>
        <v>74376.64554705</v>
      </c>
    </row>
    <row r="7" customFormat="false" ht="15" hidden="false" customHeight="true" outlineLevel="0" collapsed="false">
      <c r="A7" s="7" t="s">
        <v>39</v>
      </c>
      <c r="C7" s="18" t="n">
        <f aca="false">Assumptions!B38</f>
        <v>0.06</v>
      </c>
      <c r="D7" s="18" t="n">
        <f aca="false">Assumptions!C38</f>
        <v>0.05</v>
      </c>
      <c r="E7" s="18" t="n">
        <f aca="false">Assumptions!D38</f>
        <v>0.05</v>
      </c>
      <c r="F7" s="18" t="n">
        <f aca="false">Assumptions!E38</f>
        <v>0.045</v>
      </c>
      <c r="G7" s="18" t="n">
        <f aca="false">Assumptions!F38</f>
        <v>0.045</v>
      </c>
    </row>
    <row r="8" customFormat="false" ht="15" hidden="false" customHeight="true" outlineLevel="0" collapsed="false">
      <c r="A8" s="7" t="s">
        <v>40</v>
      </c>
      <c r="C8" s="17" t="n">
        <f aca="false">C6*Assumptions!B39</f>
        <v>38919.384</v>
      </c>
      <c r="D8" s="17" t="n">
        <f aca="false">D6*Assumptions!C39</f>
        <v>40216.6968</v>
      </c>
      <c r="E8" s="17" t="n">
        <f aca="false">E6*Assumptions!D39</f>
        <v>41886.98703</v>
      </c>
      <c r="F8" s="17" t="n">
        <f aca="false">F6*Assumptions!E39</f>
        <v>43416.0323289</v>
      </c>
      <c r="G8" s="17" t="n">
        <f aca="false">G6*Assumptions!F39</f>
        <v>45369.7537837005</v>
      </c>
    </row>
    <row r="9" customFormat="false" ht="15" hidden="false" customHeight="true" outlineLevel="0" collapsed="false">
      <c r="A9" s="7" t="s">
        <v>41</v>
      </c>
      <c r="C9" s="17" t="n">
        <f aca="false">C6-C8</f>
        <v>22857.416</v>
      </c>
      <c r="D9" s="17" t="n">
        <f aca="false">D6-D8</f>
        <v>24648.9432</v>
      </c>
      <c r="E9" s="17" t="n">
        <f aca="false">E6-E8</f>
        <v>26221.93497</v>
      </c>
      <c r="F9" s="17" t="n">
        <f aca="false">F6-F8</f>
        <v>27757.7911611</v>
      </c>
      <c r="G9" s="17" t="n">
        <f aca="false">G6-G8</f>
        <v>29006.8917633495</v>
      </c>
    </row>
    <row r="10" customFormat="false" ht="15" hidden="false" customHeight="true" outlineLevel="0" collapsed="false">
      <c r="A10" s="7" t="s">
        <v>42</v>
      </c>
      <c r="C10" s="17" t="n">
        <f aca="false">C9*Assumptions!$B$40</f>
        <v>5028.63152</v>
      </c>
      <c r="D10" s="17" t="n">
        <f aca="false">D9*Assumptions!$B$40</f>
        <v>5422.767504</v>
      </c>
      <c r="E10" s="17" t="n">
        <f aca="false">E9*Assumptions!$B$40</f>
        <v>5768.8256934</v>
      </c>
      <c r="F10" s="17" t="n">
        <f aca="false">F9*Assumptions!$B$40</f>
        <v>6106.714055442</v>
      </c>
      <c r="G10" s="17" t="n">
        <f aca="false">G9*Assumptions!$B$40</f>
        <v>6381.51618793689</v>
      </c>
    </row>
    <row r="11" customFormat="false" ht="15" hidden="false" customHeight="true" outlineLevel="0" collapsed="false">
      <c r="A11" s="3" t="s">
        <v>43</v>
      </c>
      <c r="B11" s="16" t="n">
        <v>17180</v>
      </c>
      <c r="C11" s="17" t="n">
        <f aca="false">C9-C10</f>
        <v>17828.78448</v>
      </c>
      <c r="D11" s="17" t="n">
        <f aca="false">D9-D10</f>
        <v>19226.175696</v>
      </c>
      <c r="E11" s="17" t="n">
        <f aca="false">E9-E10</f>
        <v>20453.1092766</v>
      </c>
      <c r="F11" s="17" t="n">
        <f aca="false">F9-F10</f>
        <v>21651.077105658</v>
      </c>
      <c r="G11" s="17" t="n">
        <f aca="false">G9-G10</f>
        <v>22625.3755754126</v>
      </c>
    </row>
    <row r="12" customFormat="false" ht="15" hidden="false" customHeight="true" outlineLevel="0" collapsed="false">
      <c r="A12" s="7" t="s">
        <v>44</v>
      </c>
      <c r="B12" s="16" t="n">
        <v>-900</v>
      </c>
      <c r="C12" s="17" t="n">
        <f aca="false">-Assumptions!$B$46</f>
        <v>-900</v>
      </c>
      <c r="D12" s="17" t="n">
        <f aca="false">-Assumptions!$B$46</f>
        <v>-900</v>
      </c>
      <c r="E12" s="17" t="n">
        <f aca="false">-Assumptions!$B$46</f>
        <v>-900</v>
      </c>
      <c r="F12" s="17" t="n">
        <f aca="false">-Assumptions!$B$46</f>
        <v>-900</v>
      </c>
      <c r="G12" s="17" t="n">
        <f aca="false">-Assumptions!$B$46</f>
        <v>-900</v>
      </c>
    </row>
    <row r="13" customFormat="false" ht="15" hidden="false" customHeight="true" outlineLevel="0" collapsed="false">
      <c r="A13" s="3" t="s">
        <v>45</v>
      </c>
      <c r="B13" s="19" t="n">
        <f aca="false">B11+B12</f>
        <v>16280</v>
      </c>
      <c r="C13" s="17" t="n">
        <f aca="false">C11+C12</f>
        <v>16928.78448</v>
      </c>
      <c r="D13" s="17" t="n">
        <f aca="false">D11+D12</f>
        <v>18326.175696</v>
      </c>
      <c r="E13" s="17" t="n">
        <f aca="false">E11+E12</f>
        <v>19553.1092766</v>
      </c>
      <c r="F13" s="17" t="n">
        <f aca="false">F11+F12</f>
        <v>20751.077105658</v>
      </c>
      <c r="G13" s="17" t="n">
        <f aca="false">G11+G12</f>
        <v>21725.3755754126</v>
      </c>
    </row>
    <row r="14" customFormat="false" ht="15" hidden="false" customHeight="true" outlineLevel="0" collapsed="false">
      <c r="A14" s="7" t="s">
        <v>46</v>
      </c>
      <c r="B14" s="20" t="n">
        <v>300.6</v>
      </c>
      <c r="C14" s="21" t="n">
        <f aca="false">'Capital &amp; Shares'!C16</f>
        <v>296.724356386044</v>
      </c>
      <c r="D14" s="21" t="n">
        <f aca="false">'Capital &amp; Shares'!D16</f>
        <v>288.974865462541</v>
      </c>
      <c r="E14" s="21" t="n">
        <f aca="false">'Capital &amp; Shares'!E16</f>
        <v>281.29254530271</v>
      </c>
      <c r="F14" s="21" t="n">
        <f aca="false">'Capital &amp; Shares'!F16</f>
        <v>273.762767939168</v>
      </c>
      <c r="G14" s="21" t="n">
        <f aca="false">'Capital &amp; Shares'!G16</f>
        <v>266.455530147743</v>
      </c>
    </row>
    <row r="15" customFormat="false" ht="15" hidden="false" customHeight="true" outlineLevel="0" collapsed="false">
      <c r="A15" s="3" t="s">
        <v>47</v>
      </c>
      <c r="B15" s="22" t="n">
        <f aca="false">B13/B14</f>
        <v>54.1583499667332</v>
      </c>
      <c r="C15" s="23" t="n">
        <f aca="false">C13/C14</f>
        <v>57.0522241119139</v>
      </c>
      <c r="D15" s="23" t="n">
        <f aca="false">D13/D14</f>
        <v>63.4178881497761</v>
      </c>
      <c r="E15" s="23" t="n">
        <f aca="false">E13/E14</f>
        <v>69.5116511372818</v>
      </c>
      <c r="F15" s="23" t="n">
        <f aca="false">F13/F14</f>
        <v>75.7994860362788</v>
      </c>
      <c r="G15" s="23" t="n">
        <f aca="false">G13/G14</f>
        <v>81.534714492007</v>
      </c>
    </row>
    <row r="16" customFormat="false" ht="15" hidden="false" customHeight="true" outlineLevel="0" collapsed="false">
      <c r="A16" s="7" t="s">
        <v>48</v>
      </c>
      <c r="B16" s="24" t="n">
        <f aca="false">B11/B6</f>
        <v>0.294783802333562</v>
      </c>
      <c r="C16" s="10" t="n">
        <f aca="false">C11/C6</f>
        <v>0.2886</v>
      </c>
      <c r="D16" s="10" t="n">
        <f aca="false">D11/D6</f>
        <v>0.2964</v>
      </c>
      <c r="E16" s="10" t="n">
        <f aca="false">E11/E6</f>
        <v>0.3003</v>
      </c>
      <c r="F16" s="10" t="n">
        <f aca="false">F11/F6</f>
        <v>0.3042</v>
      </c>
      <c r="G16" s="10" t="n">
        <f aca="false">G11/G6</f>
        <v>0.3042</v>
      </c>
    </row>
    <row r="18" customFormat="false" ht="15" hidden="false" customHeight="true" outlineLevel="0" collapsed="false">
      <c r="A18" s="14" t="s">
        <v>49</v>
      </c>
      <c r="B18" s="14"/>
      <c r="C18" s="14"/>
      <c r="D18" s="14"/>
      <c r="E18" s="14"/>
      <c r="F18" s="14"/>
      <c r="G18" s="14"/>
    </row>
    <row r="19" customFormat="false" ht="15" hidden="false" customHeight="true" outlineLevel="0" collapsed="false">
      <c r="A19" s="14" t="s">
        <v>50</v>
      </c>
      <c r="B19" s="14"/>
      <c r="C19" s="14"/>
      <c r="D19" s="14"/>
      <c r="E19" s="14"/>
      <c r="F19" s="14"/>
      <c r="G19" s="14"/>
    </row>
    <row r="20" customFormat="false" ht="15" hidden="false" customHeight="true" outlineLevel="0" collapsed="false">
      <c r="A20" s="14" t="s">
        <v>51</v>
      </c>
      <c r="B20" s="14"/>
      <c r="C20" s="14"/>
      <c r="D20" s="14"/>
      <c r="E20" s="14"/>
      <c r="F20" s="14"/>
      <c r="G20" s="14"/>
    </row>
    <row r="21" customFormat="false" ht="15" hidden="false" customHeight="true" outlineLevel="0" collapsed="false">
      <c r="A21" s="14" t="s">
        <v>52</v>
      </c>
      <c r="B21" s="14"/>
      <c r="C21" s="14"/>
      <c r="D21" s="14"/>
      <c r="E21" s="14"/>
      <c r="F21" s="14"/>
      <c r="G21" s="14"/>
    </row>
  </sheetData>
  <mergeCells count="5">
    <mergeCell ref="A1:G1"/>
    <mergeCell ref="A18:G18"/>
    <mergeCell ref="A19:G19"/>
    <mergeCell ref="A20:G20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7" min="2" style="1" width="13"/>
  </cols>
  <sheetData>
    <row r="1" customFormat="false" ht="27.75" hidden="false" customHeight="true" outlineLevel="0" collapsed="false">
      <c r="A1" s="2" t="s">
        <v>53</v>
      </c>
      <c r="B1" s="2"/>
      <c r="C1" s="2"/>
      <c r="D1" s="2"/>
      <c r="E1" s="2"/>
      <c r="F1" s="2"/>
      <c r="G1" s="2"/>
    </row>
    <row r="4" customFormat="false" ht="15" hidden="false" customHeight="true" outlineLevel="0" collapsed="false">
      <c r="A4" s="15" t="s">
        <v>54</v>
      </c>
    </row>
    <row r="5" customFormat="false" ht="15" hidden="false" customHeight="true" outlineLevel="0" collapsed="false">
      <c r="A5" s="6" t="s">
        <v>4</v>
      </c>
      <c r="B5" s="6" t="s">
        <v>37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</row>
    <row r="6" customFormat="false" ht="15" hidden="false" customHeight="true" outlineLevel="0" collapsed="false">
      <c r="A6" s="7" t="s">
        <v>55</v>
      </c>
      <c r="C6" s="17" t="n">
        <f aca="false">B11</f>
        <v>107494.6</v>
      </c>
      <c r="D6" s="17" t="n">
        <f aca="false">C11</f>
        <v>113419.674568</v>
      </c>
      <c r="E6" s="17" t="n">
        <f aca="false">D11</f>
        <v>119833.8360616</v>
      </c>
      <c r="F6" s="17" t="n">
        <f aca="false">E11</f>
        <v>126677.42430841</v>
      </c>
      <c r="G6" s="17" t="n">
        <f aca="false">F11</f>
        <v>133940.30129539</v>
      </c>
    </row>
    <row r="7" customFormat="false" ht="15" hidden="false" customHeight="true" outlineLevel="0" collapsed="false">
      <c r="A7" s="7" t="s">
        <v>56</v>
      </c>
      <c r="C7" s="25" t="n">
        <f aca="false">'Income Statement Proj.'!C13</f>
        <v>16928.78448</v>
      </c>
      <c r="D7" s="25" t="n">
        <f aca="false">'Income Statement Proj.'!D13</f>
        <v>18326.175696</v>
      </c>
      <c r="E7" s="25" t="n">
        <f aca="false">'Income Statement Proj.'!E13</f>
        <v>19553.1092766</v>
      </c>
      <c r="F7" s="25" t="n">
        <f aca="false">'Income Statement Proj.'!F13</f>
        <v>20751.077105658</v>
      </c>
      <c r="G7" s="25" t="n">
        <f aca="false">'Income Statement Proj.'!G13</f>
        <v>21725.3755754126</v>
      </c>
    </row>
    <row r="8" customFormat="false" ht="15" hidden="false" customHeight="true" outlineLevel="0" collapsed="false">
      <c r="A8" s="7" t="s">
        <v>57</v>
      </c>
      <c r="C8" s="17" t="n">
        <f aca="false">C7*Assumptions!$B$41</f>
        <v>11003.709912</v>
      </c>
      <c r="D8" s="17" t="n">
        <f aca="false">D7*Assumptions!$B$41</f>
        <v>11912.0142024</v>
      </c>
      <c r="E8" s="17" t="n">
        <f aca="false">E7*Assumptions!$B$41</f>
        <v>12709.52102979</v>
      </c>
      <c r="F8" s="17" t="n">
        <f aca="false">F7*Assumptions!$B$41</f>
        <v>13488.2001186777</v>
      </c>
      <c r="G8" s="17" t="n">
        <f aca="false">G7*Assumptions!$B$41</f>
        <v>14121.4941240182</v>
      </c>
    </row>
    <row r="9" customFormat="false" ht="15" hidden="false" customHeight="true" outlineLevel="0" collapsed="false">
      <c r="A9" s="7" t="s">
        <v>58</v>
      </c>
      <c r="C9" s="17" t="n">
        <f aca="false">C8*Assumptions!$B$48</f>
        <v>3081.03877536</v>
      </c>
      <c r="D9" s="17" t="n">
        <f aca="false">D8*Assumptions!$B$48</f>
        <v>3335.363976672</v>
      </c>
      <c r="E9" s="17" t="n">
        <f aca="false">E8*Assumptions!$B$48</f>
        <v>3558.6658883412</v>
      </c>
      <c r="F9" s="17" t="n">
        <f aca="false">F8*Assumptions!$B$48</f>
        <v>3776.69603322976</v>
      </c>
      <c r="G9" s="17" t="n">
        <f aca="false">G8*Assumptions!$B$48</f>
        <v>3954.0183547251</v>
      </c>
    </row>
    <row r="10" customFormat="false" ht="15" hidden="false" customHeight="true" outlineLevel="0" collapsed="false">
      <c r="A10" s="7" t="s">
        <v>59</v>
      </c>
      <c r="C10" s="17" t="n">
        <f aca="false">C8-C9</f>
        <v>7922.67113664</v>
      </c>
      <c r="D10" s="17" t="n">
        <f aca="false">D8-D9</f>
        <v>8576.650225728</v>
      </c>
      <c r="E10" s="17" t="n">
        <f aca="false">E8-E9</f>
        <v>9150.8551414488</v>
      </c>
      <c r="F10" s="17" t="n">
        <f aca="false">F8-F9</f>
        <v>9711.50408544795</v>
      </c>
      <c r="G10" s="17" t="n">
        <f aca="false">G8-G9</f>
        <v>10167.4757692931</v>
      </c>
    </row>
    <row r="11" customFormat="false" ht="15" hidden="false" customHeight="true" outlineLevel="0" collapsed="false">
      <c r="A11" s="3" t="s">
        <v>60</v>
      </c>
      <c r="B11" s="16" t="n">
        <v>107494.6</v>
      </c>
      <c r="C11" s="17" t="n">
        <f aca="false">C6+C7-C8</f>
        <v>113419.674568</v>
      </c>
      <c r="D11" s="17" t="n">
        <f aca="false">D6+D7-D8</f>
        <v>119833.8360616</v>
      </c>
      <c r="E11" s="17" t="n">
        <f aca="false">E6+E7-E8</f>
        <v>126677.42430841</v>
      </c>
      <c r="F11" s="17" t="n">
        <f aca="false">F6+F7-F8</f>
        <v>133940.30129539</v>
      </c>
      <c r="G11" s="17" t="n">
        <f aca="false">G6+G7-G8</f>
        <v>141544.182746785</v>
      </c>
    </row>
    <row r="12" customFormat="false" ht="15" hidden="false" customHeight="true" outlineLevel="0" collapsed="false">
      <c r="A12" s="7" t="s">
        <v>61</v>
      </c>
      <c r="C12" s="26" t="n">
        <f aca="false">B15</f>
        <v>300.6</v>
      </c>
      <c r="D12" s="26" t="n">
        <f aca="false">C15</f>
        <v>292.848712772088</v>
      </c>
      <c r="E12" s="26" t="n">
        <f aca="false">D15</f>
        <v>285.101018152993</v>
      </c>
      <c r="F12" s="26" t="n">
        <f aca="false">E15</f>
        <v>277.484072452427</v>
      </c>
      <c r="G12" s="26" t="n">
        <f aca="false">F15</f>
        <v>270.04146342591</v>
      </c>
    </row>
    <row r="13" customFormat="false" ht="15" hidden="false" customHeight="true" outlineLevel="0" collapsed="false">
      <c r="A13" s="7" t="s">
        <v>62</v>
      </c>
      <c r="C13" s="23" t="n">
        <f aca="false">(C6/C12)*Assumptions!$B$47</f>
        <v>1022.11038033925</v>
      </c>
      <c r="D13" s="23" t="n">
        <f aca="false">(D6/D12)*Assumptions!$B$47</f>
        <v>1106.99384105697</v>
      </c>
      <c r="E13" s="23" t="n">
        <f aca="false">(E6/E12)*Assumptions!$B$47</f>
        <v>1201.38117050885</v>
      </c>
      <c r="F13" s="23" t="n">
        <f aca="false">(F6/F12)*Assumptions!$B$47</f>
        <v>1304.85210909868</v>
      </c>
      <c r="G13" s="23" t="n">
        <f aca="false">(G6/G12)*Assumptions!$B$47</f>
        <v>1417.68892232323</v>
      </c>
    </row>
    <row r="14" customFormat="false" ht="15" hidden="false" customHeight="true" outlineLevel="0" collapsed="false">
      <c r="A14" s="7" t="s">
        <v>63</v>
      </c>
      <c r="C14" s="26" t="n">
        <f aca="false">C10/C13</f>
        <v>7.75128722791213</v>
      </c>
      <c r="D14" s="26" t="n">
        <f aca="false">D10/D13</f>
        <v>7.74769461909464</v>
      </c>
      <c r="E14" s="26" t="n">
        <f aca="false">E10/E13</f>
        <v>7.61694570056642</v>
      </c>
      <c r="F14" s="26" t="n">
        <f aca="false">F10/F13</f>
        <v>7.44260902651726</v>
      </c>
      <c r="G14" s="26" t="n">
        <f aca="false">G10/G13</f>
        <v>7.17186655633254</v>
      </c>
    </row>
    <row r="15" customFormat="false" ht="15" hidden="false" customHeight="true" outlineLevel="0" collapsed="false">
      <c r="A15" s="3" t="s">
        <v>64</v>
      </c>
      <c r="B15" s="20" t="n">
        <v>300.6</v>
      </c>
      <c r="C15" s="26" t="n">
        <f aca="false">C12-C14</f>
        <v>292.848712772088</v>
      </c>
      <c r="D15" s="26" t="n">
        <f aca="false">D12-D14</f>
        <v>285.101018152993</v>
      </c>
      <c r="E15" s="26" t="n">
        <f aca="false">E12-E14</f>
        <v>277.484072452427</v>
      </c>
      <c r="F15" s="26" t="n">
        <f aca="false">F12-F14</f>
        <v>270.04146342591</v>
      </c>
      <c r="G15" s="26" t="n">
        <f aca="false">G12-G14</f>
        <v>262.869596869577</v>
      </c>
    </row>
    <row r="16" customFormat="false" ht="15" hidden="false" customHeight="true" outlineLevel="0" collapsed="false">
      <c r="A16" s="7" t="s">
        <v>65</v>
      </c>
      <c r="C16" s="26" t="n">
        <f aca="false">AVERAGE(C12,C15)</f>
        <v>296.724356386044</v>
      </c>
      <c r="D16" s="26" t="n">
        <f aca="false">AVERAGE(D12,D15)</f>
        <v>288.974865462541</v>
      </c>
      <c r="E16" s="26" t="n">
        <f aca="false">AVERAGE(E12,E15)</f>
        <v>281.29254530271</v>
      </c>
      <c r="F16" s="26" t="n">
        <f aca="false">AVERAGE(F12,F15)</f>
        <v>273.762767939168</v>
      </c>
      <c r="G16" s="26" t="n">
        <f aca="false">AVERAGE(G12,G15)</f>
        <v>266.455530147743</v>
      </c>
    </row>
    <row r="17" customFormat="false" ht="15" hidden="false" customHeight="true" outlineLevel="0" collapsed="false">
      <c r="A17" s="3" t="s">
        <v>66</v>
      </c>
      <c r="B17" s="22" t="n">
        <f aca="false">B11/B15</f>
        <v>357.600133067199</v>
      </c>
      <c r="C17" s="23" t="n">
        <f aca="false">C11/C15</f>
        <v>387.297842269397</v>
      </c>
      <c r="D17" s="23" t="n">
        <f aca="false">D11/D15</f>
        <v>420.320617716257</v>
      </c>
      <c r="E17" s="23" t="n">
        <f aca="false">E11/E15</f>
        <v>456.521425495974</v>
      </c>
      <c r="F17" s="23" t="n">
        <f aca="false">F11/F15</f>
        <v>495.999020284302</v>
      </c>
      <c r="G17" s="23" t="n">
        <f aca="false">G11/G15</f>
        <v>538.457792123492</v>
      </c>
    </row>
    <row r="18" customFormat="false" ht="15" hidden="false" customHeight="true" outlineLevel="0" collapsed="false">
      <c r="A18" s="3" t="s">
        <v>67</v>
      </c>
      <c r="C18" s="10" t="n">
        <f aca="false">C7/AVERAGE(C6,C11)</f>
        <v>0.153261119165834</v>
      </c>
      <c r="D18" s="10" t="n">
        <f aca="false">D7/AVERAGE(D6,D11)</f>
        <v>0.157135261514683</v>
      </c>
      <c r="E18" s="10" t="n">
        <f aca="false">E7/AVERAGE(E6,E11)</f>
        <v>0.158638670276165</v>
      </c>
      <c r="F18" s="10" t="n">
        <f aca="false">F7/AVERAGE(F6,F11)</f>
        <v>0.15924532422023</v>
      </c>
      <c r="G18" s="10" t="n">
        <f aca="false">G7/AVERAGE(G6,G11)</f>
        <v>0.157724858087373</v>
      </c>
    </row>
    <row r="19" customFormat="false" ht="15" hidden="false" customHeight="true" outlineLevel="0" collapsed="false">
      <c r="A19" s="7" t="s">
        <v>68</v>
      </c>
      <c r="C19" s="23" t="n">
        <f aca="false">C9/C16</f>
        <v>10.3835047883683</v>
      </c>
      <c r="D19" s="23" t="n">
        <f aca="false">D9/D16</f>
        <v>11.5420556432593</v>
      </c>
      <c r="E19" s="23" t="n">
        <f aca="false">E9/E16</f>
        <v>12.6511205069853</v>
      </c>
      <c r="F19" s="23" t="n">
        <f aca="false">F9/F16</f>
        <v>13.7955064586027</v>
      </c>
      <c r="G19" s="23" t="n">
        <f aca="false">G9/G16</f>
        <v>14.8393180375453</v>
      </c>
    </row>
    <row r="21" customFormat="false" ht="15" hidden="false" customHeight="true" outlineLevel="0" collapsed="false">
      <c r="A21" s="14" t="s">
        <v>69</v>
      </c>
      <c r="B21" s="14"/>
      <c r="C21" s="14"/>
      <c r="D21" s="14"/>
      <c r="E21" s="14"/>
      <c r="F21" s="14"/>
      <c r="G21" s="14"/>
    </row>
    <row r="22" customFormat="false" ht="15" hidden="false" customHeight="true" outlineLevel="0" collapsed="false">
      <c r="A22" s="14" t="s">
        <v>70</v>
      </c>
      <c r="B22" s="14"/>
      <c r="C22" s="14"/>
      <c r="D22" s="14"/>
      <c r="E22" s="14"/>
      <c r="F22" s="14"/>
      <c r="G22" s="14"/>
    </row>
    <row r="23" customFormat="false" ht="15" hidden="false" customHeight="true" outlineLevel="0" collapsed="false">
      <c r="A23" s="14" t="s">
        <v>71</v>
      </c>
      <c r="B23" s="14"/>
      <c r="C23" s="14"/>
      <c r="D23" s="14"/>
      <c r="E23" s="14"/>
      <c r="F23" s="14"/>
      <c r="G23" s="14"/>
    </row>
    <row r="24" customFormat="false" ht="15" hidden="false" customHeight="true" outlineLevel="0" collapsed="false">
      <c r="A24" s="14" t="s">
        <v>72</v>
      </c>
      <c r="B24" s="14"/>
      <c r="C24" s="14"/>
      <c r="D24" s="14"/>
      <c r="E24" s="14"/>
      <c r="F24" s="14"/>
      <c r="G24" s="14"/>
    </row>
  </sheetData>
  <mergeCells count="5">
    <mergeCell ref="A1:G1"/>
    <mergeCell ref="A21:G21"/>
    <mergeCell ref="A22:G22"/>
    <mergeCell ref="A23:G23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7" min="2" style="1" width="11"/>
  </cols>
  <sheetData>
    <row r="1" customFormat="false" ht="27.75" hidden="false" customHeight="true" outlineLevel="0" collapsed="false">
      <c r="A1" s="2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customFormat="false" ht="15" hidden="false" customHeight="true" outlineLevel="0" collapsed="false">
      <c r="B3" s="27" t="s">
        <v>74</v>
      </c>
      <c r="C3" s="27"/>
      <c r="D3" s="27"/>
      <c r="E3" s="27"/>
      <c r="F3" s="27"/>
      <c r="H3" s="28" t="s">
        <v>75</v>
      </c>
      <c r="I3" s="28"/>
      <c r="J3" s="28"/>
      <c r="K3" s="28"/>
      <c r="L3" s="28"/>
      <c r="N3" s="29" t="s">
        <v>76</v>
      </c>
      <c r="O3" s="29"/>
      <c r="P3" s="29"/>
      <c r="Q3" s="29"/>
      <c r="R3" s="29"/>
    </row>
    <row r="4" customFormat="false" ht="15" hidden="false" customHeight="true" outlineLevel="0" collapsed="false">
      <c r="B4" s="30" t="s">
        <v>5</v>
      </c>
      <c r="C4" s="30" t="s">
        <v>6</v>
      </c>
      <c r="D4" s="30" t="s">
        <v>7</v>
      </c>
      <c r="E4" s="30" t="s">
        <v>8</v>
      </c>
      <c r="F4" s="30" t="s">
        <v>9</v>
      </c>
      <c r="H4" s="30" t="s">
        <v>5</v>
      </c>
      <c r="I4" s="30" t="s">
        <v>6</v>
      </c>
      <c r="J4" s="30" t="s">
        <v>7</v>
      </c>
      <c r="K4" s="30" t="s">
        <v>8</v>
      </c>
      <c r="L4" s="30" t="s">
        <v>9</v>
      </c>
      <c r="N4" s="30" t="s">
        <v>5</v>
      </c>
      <c r="O4" s="30" t="s">
        <v>6</v>
      </c>
      <c r="P4" s="30" t="s">
        <v>7</v>
      </c>
      <c r="Q4" s="30" t="s">
        <v>8</v>
      </c>
      <c r="R4" s="30" t="s">
        <v>9</v>
      </c>
    </row>
    <row r="5" customFormat="false" ht="15" hidden="false" customHeight="true" outlineLevel="0" collapsed="false">
      <c r="A5" s="3" t="s">
        <v>77</v>
      </c>
      <c r="B5" s="31" t="n">
        <f aca="false">58280*(1+Assumptions!B7)</f>
        <v>56531.6</v>
      </c>
      <c r="C5" s="31" t="n">
        <f aca="false">B5*(1+Assumptions!C7)</f>
        <v>57096.916</v>
      </c>
      <c r="D5" s="31" t="n">
        <f aca="false">C5*(1+Assumptions!D7)</f>
        <v>58238.85432</v>
      </c>
      <c r="E5" s="31" t="n">
        <f aca="false">D5*(1+Assumptions!E7)</f>
        <v>59403.6314064</v>
      </c>
      <c r="F5" s="31" t="n">
        <f aca="false">E5*(1+Assumptions!F7)</f>
        <v>60591.704034528</v>
      </c>
      <c r="H5" s="31" t="n">
        <f aca="false">58280*(1+Assumptions!B17)</f>
        <v>61776.8</v>
      </c>
      <c r="I5" s="31" t="n">
        <f aca="false">H5*(1+Assumptions!C17)</f>
        <v>64865.64</v>
      </c>
      <c r="J5" s="31" t="n">
        <f aca="false">I5*(1+Assumptions!D17)</f>
        <v>68108.922</v>
      </c>
      <c r="K5" s="31" t="n">
        <f aca="false">J5*(1+Assumptions!E17)</f>
        <v>71173.82349</v>
      </c>
      <c r="L5" s="31" t="n">
        <f aca="false">K5*(1+Assumptions!F17)</f>
        <v>74376.64554705</v>
      </c>
      <c r="N5" s="31" t="n">
        <f aca="false">58280*(1+Assumptions!B27)</f>
        <v>64690.8</v>
      </c>
      <c r="O5" s="31" t="n">
        <f aca="false">N5*(1+Assumptions!C27)</f>
        <v>70512.972</v>
      </c>
      <c r="P5" s="31" t="n">
        <f aca="false">O5*(1+Assumptions!D27)</f>
        <v>76154.00976</v>
      </c>
      <c r="Q5" s="31" t="n">
        <f aca="false">P5*(1+Assumptions!E27)</f>
        <v>81484.7904432</v>
      </c>
      <c r="R5" s="31" t="n">
        <f aca="false">Q5*(1+Assumptions!F27)</f>
        <v>86781.301822008</v>
      </c>
    </row>
    <row r="6" customFormat="false" ht="15" hidden="false" customHeight="true" outlineLevel="0" collapsed="false">
      <c r="A6" s="3" t="s">
        <v>78</v>
      </c>
      <c r="B6" s="31" t="n">
        <f aca="false">(B5*(1-Assumptions!B8))*(1-Assumptions!$B$9)-Assumptions!$B$46</f>
        <v>13029.38624</v>
      </c>
      <c r="C6" s="31" t="n">
        <f aca="false">(C5*(1-Assumptions!C8))*(1-Assumptions!$B$9)-Assumptions!$B$46</f>
        <v>13608.3263556</v>
      </c>
      <c r="D6" s="31" t="n">
        <f aca="false">(D5*(1-Assumptions!D8))*(1-Assumptions!$B$9)-Assumptions!$B$46</f>
        <v>14346.932060976</v>
      </c>
      <c r="E6" s="31" t="n">
        <f aca="false">(E5*(1-Assumptions!E8))*(1-Assumptions!$B$9)-Assumptions!$B$46</f>
        <v>14651.8707021955</v>
      </c>
      <c r="F6" s="31" t="n">
        <f aca="false">(F5*(1-Assumptions!F8))*(1-Assumptions!$B$9)-Assumptions!$B$46</f>
        <v>14962.9081162394</v>
      </c>
      <c r="H6" s="31" t="n">
        <f aca="false">(H5*(1-Assumptions!B18))*(1-Assumptions!$B$19)-Assumptions!$B$46</f>
        <v>16928.78448</v>
      </c>
      <c r="I6" s="31" t="n">
        <f aca="false">(I5*(1-Assumptions!C18))*(1-Assumptions!$B$19)-Assumptions!$B$46</f>
        <v>18326.175696</v>
      </c>
      <c r="J6" s="31" t="n">
        <f aca="false">(J5*(1-Assumptions!D18))*(1-Assumptions!$B$19)-Assumptions!$B$46</f>
        <v>19553.1092766</v>
      </c>
      <c r="K6" s="31" t="n">
        <f aca="false">(K5*(1-Assumptions!E18))*(1-Assumptions!$B$19)-Assumptions!$B$46</f>
        <v>20751.077105658</v>
      </c>
      <c r="L6" s="31" t="n">
        <f aca="false">(L5*(1-Assumptions!F18))*(1-Assumptions!$B$19)-Assumptions!$B$46</f>
        <v>21725.3755754126</v>
      </c>
      <c r="N6" s="31" t="n">
        <f aca="false">(N5*(1-Assumptions!B28))*(1-Assumptions!$B$29)-Assumptions!$B$46</f>
        <v>19542.2928</v>
      </c>
      <c r="O6" s="31" t="n">
        <f aca="false">(O5*(1-Assumptions!C28))*(1-Assumptions!$B$29)-Assumptions!$B$46</f>
        <v>22217.6778702</v>
      </c>
      <c r="P6" s="31" t="n">
        <f aca="false">(P5*(1-Assumptions!D28))*(1-Assumptions!$B$29)-Assumptions!$B$46</f>
        <v>24668.70877692</v>
      </c>
      <c r="Q6" s="31" t="n">
        <f aca="false">(Q5*(1-Assumptions!E28))*(1-Assumptions!$B$29)-Assumptions!$B$46</f>
        <v>26780.3833135551</v>
      </c>
      <c r="R6" s="31" t="n">
        <f aca="false">(R5*(1-Assumptions!F28))*(1-Assumptions!$B$29)-Assumptions!$B$46</f>
        <v>28922.3943711331</v>
      </c>
    </row>
    <row r="7" customFormat="false" ht="15" hidden="false" customHeight="true" outlineLevel="0" collapsed="false">
      <c r="A7" s="3" t="s">
        <v>79</v>
      </c>
      <c r="B7" s="31" t="n">
        <f aca="false">107494.6+B6-(B6*Assumptions!$B$10)</f>
        <v>113357.823808</v>
      </c>
      <c r="C7" s="31" t="n">
        <f aca="false">B7+C6-(C6*Assumptions!$B$10)</f>
        <v>119481.57066802</v>
      </c>
      <c r="D7" s="31" t="n">
        <f aca="false">C7+D6-(D6*Assumptions!$B$10)</f>
        <v>125937.690095459</v>
      </c>
      <c r="E7" s="31" t="n">
        <f aca="false">D7+E6-(E6*Assumptions!$B$10)</f>
        <v>132531.031911447</v>
      </c>
      <c r="F7" s="31" t="n">
        <f aca="false">E7+F6-(F6*Assumptions!$B$10)</f>
        <v>139264.340563755</v>
      </c>
      <c r="H7" s="31" t="n">
        <f aca="false">107494.6+H6-(H6*Assumptions!$B$20)</f>
        <v>113419.674568</v>
      </c>
      <c r="I7" s="31" t="n">
        <f aca="false">H7+I6-(I6*Assumptions!$B$20)</f>
        <v>119833.8360616</v>
      </c>
      <c r="J7" s="31" t="n">
        <f aca="false">I7+J6-(J6*Assumptions!$B$20)</f>
        <v>126677.42430841</v>
      </c>
      <c r="K7" s="31" t="n">
        <f aca="false">J7+K6-(K6*Assumptions!$B$20)</f>
        <v>133940.30129539</v>
      </c>
      <c r="L7" s="31" t="n">
        <f aca="false">K7+L6-(L6*Assumptions!$B$20)</f>
        <v>141544.182746785</v>
      </c>
      <c r="N7" s="31" t="n">
        <f aca="false">107494.6+N6-(N6*Assumptions!$B$30)</f>
        <v>112380.1732</v>
      </c>
      <c r="O7" s="31" t="n">
        <f aca="false">N7+O6-(O6*Assumptions!$B$30)</f>
        <v>117934.59266755</v>
      </c>
      <c r="P7" s="31" t="n">
        <f aca="false">O7+P6-(P6*Assumptions!$B$30)</f>
        <v>124101.76986178</v>
      </c>
      <c r="Q7" s="31" t="n">
        <f aca="false">P7+Q6-(Q6*Assumptions!$B$30)</f>
        <v>130796.865690169</v>
      </c>
      <c r="R7" s="31" t="n">
        <f aca="false">Q7+R6-(R6*Assumptions!$B$30)</f>
        <v>138027.464282952</v>
      </c>
    </row>
    <row r="8" customFormat="false" ht="15" hidden="false" customHeight="true" outlineLevel="0" collapsed="false">
      <c r="A8" s="3" t="s">
        <v>64</v>
      </c>
      <c r="B8" s="32" t="n">
        <f aca="false">300.6-(((B6*Assumptions!$B$10)*(1-Assumptions!$B$48))/((107494.6/300.6)*Assumptions!$B$47))</f>
        <v>295.551976762698</v>
      </c>
      <c r="C8" s="32" t="n">
        <f aca="false">B8-(((C6*Assumptions!$B$10)*(1-Assumptions!$B$48))/((B7/B8)*Assumptions!$B$47))</f>
        <v>290.636313291279</v>
      </c>
      <c r="D8" s="32" t="n">
        <f aca="false">C8-(((D6*Assumptions!$B$10)*(1-Assumptions!$B$48))/((C7/C8)*Assumptions!$B$47))</f>
        <v>285.801240092694</v>
      </c>
      <c r="E8" s="32" t="n">
        <f aca="false">D8-(((E6*Assumptions!$B$10)*(1-Assumptions!$B$48))/((D7/D8)*Assumptions!$B$47))</f>
        <v>281.194470180005</v>
      </c>
      <c r="F8" s="32" t="n">
        <f aca="false">E8-(((F6*Assumptions!$B$10)*(1-Assumptions!$B$48))/((E7/E8)*Assumptions!$B$47))</f>
        <v>276.796014055697</v>
      </c>
      <c r="H8" s="32" t="n">
        <f aca="false">300.6-(((H6*Assumptions!$B$20)*(1-Assumptions!$B$48))/((107494.6/300.6)*Assumptions!$B$47))</f>
        <v>292.848712772088</v>
      </c>
      <c r="I8" s="32" t="n">
        <f aca="false">H8-(((I6*Assumptions!$B$20)*(1-Assumptions!$B$48))/((H7/H8)*Assumptions!$B$47))</f>
        <v>285.101018152993</v>
      </c>
      <c r="J8" s="32" t="n">
        <f aca="false">I8-(((J6*Assumptions!$B$20)*(1-Assumptions!$B$48))/((I7/I8)*Assumptions!$B$47))</f>
        <v>277.484072452427</v>
      </c>
      <c r="K8" s="32" t="n">
        <f aca="false">J8-(((K6*Assumptions!$B$20)*(1-Assumptions!$B$48))/((J7/J8)*Assumptions!$B$47))</f>
        <v>270.04146342591</v>
      </c>
      <c r="L8" s="32" t="n">
        <f aca="false">K8-(((L6*Assumptions!$B$20)*(1-Assumptions!$B$48))/((K7/K8)*Assumptions!$B$47))</f>
        <v>262.869596869577</v>
      </c>
      <c r="N8" s="32" t="n">
        <f aca="false">300.6-(((N6*Assumptions!$B$30)*(1-Assumptions!$B$48))/((107494.6/300.6)*Assumptions!$B$47))</f>
        <v>290.275441796709</v>
      </c>
      <c r="O8" s="32" t="n">
        <f aca="false">N8-(((O6*Assumptions!$B$30)*(1-Assumptions!$B$48))/((N7/N8)*Assumptions!$B$47))</f>
        <v>279.433354593571</v>
      </c>
      <c r="P8" s="32" t="n">
        <f aca="false">O8-(((P6*Assumptions!$B$30)*(1-Assumptions!$B$48))/((O7/O8)*Assumptions!$B$47))</f>
        <v>268.390608570713</v>
      </c>
      <c r="Q8" s="32" t="n">
        <f aca="false">P8-(((Q6*Assumptions!$B$30)*(1-Assumptions!$B$48))/((P7/P8)*Assumptions!$B$47))</f>
        <v>257.448531701449</v>
      </c>
      <c r="R8" s="32" t="n">
        <f aca="false">Q8-(((R6*Assumptions!$B$30)*(1-Assumptions!$B$48))/((Q7/Q8)*Assumptions!$B$47))</f>
        <v>246.693270588548</v>
      </c>
    </row>
    <row r="9" customFormat="false" ht="15" hidden="false" customHeight="true" outlineLevel="0" collapsed="false">
      <c r="A9" s="3" t="s">
        <v>80</v>
      </c>
      <c r="B9" s="33" t="n">
        <f aca="false">B6/AVERAGE(300.6,B8)</f>
        <v>43.7116263901492</v>
      </c>
      <c r="C9" s="33" t="n">
        <f aca="false">C6/AVERAGE(B8,C8)</f>
        <v>46.4298812736328</v>
      </c>
      <c r="D9" s="33" t="n">
        <f aca="false">D6/AVERAGE(C8,D8)</f>
        <v>49.7779229571441</v>
      </c>
      <c r="E9" s="33" t="n">
        <f aca="false">E6/AVERAGE(D8,E8)</f>
        <v>51.682474617484</v>
      </c>
      <c r="F9" s="33" t="n">
        <f aca="false">F6/AVERAGE(E8,F8)</f>
        <v>53.6314096350034</v>
      </c>
      <c r="H9" s="33" t="n">
        <f aca="false">H6/AVERAGE(300.6,H8)</f>
        <v>57.0522241119139</v>
      </c>
      <c r="I9" s="33" t="n">
        <f aca="false">I6/AVERAGE(H8,I8)</f>
        <v>63.4178881497761</v>
      </c>
      <c r="J9" s="33" t="n">
        <f aca="false">J6/AVERAGE(I8,J8)</f>
        <v>69.5116511372818</v>
      </c>
      <c r="K9" s="33" t="n">
        <f aca="false">K6/AVERAGE(J8,K8)</f>
        <v>75.7994860362788</v>
      </c>
      <c r="L9" s="33" t="n">
        <f aca="false">L6/AVERAGE(K8,L8)</f>
        <v>81.534714492007</v>
      </c>
      <c r="N9" s="33" t="n">
        <f aca="false">N6/AVERAGE(300.6,N8)</f>
        <v>66.1469115743806</v>
      </c>
      <c r="O9" s="33" t="n">
        <f aca="false">O6/AVERAGE(N8,O8)</f>
        <v>77.9966116407994</v>
      </c>
      <c r="P9" s="33" t="n">
        <f aca="false">P6/AVERAGE(O8,P8)</f>
        <v>90.0607145201578</v>
      </c>
      <c r="Q9" s="33" t="n">
        <f aca="false">Q6/AVERAGE(P8,Q8)</f>
        <v>101.857702337236</v>
      </c>
      <c r="R9" s="33" t="n">
        <f aca="false">R6/AVERAGE(Q8,R8)</f>
        <v>114.73912395186</v>
      </c>
    </row>
    <row r="10" customFormat="false" ht="15" hidden="false" customHeight="true" outlineLevel="0" collapsed="false">
      <c r="A10" s="3" t="s">
        <v>81</v>
      </c>
      <c r="B10" s="33" t="n">
        <f aca="false">B7/B8</f>
        <v>383.546153369213</v>
      </c>
      <c r="C10" s="33" t="n">
        <f aca="false">C7/C8</f>
        <v>411.103379735877</v>
      </c>
      <c r="D10" s="33" t="n">
        <f aca="false">D7/D8</f>
        <v>440.647808437129</v>
      </c>
      <c r="E10" s="33" t="n">
        <f aca="false">E7/E8</f>
        <v>471.314502830046</v>
      </c>
      <c r="F10" s="33" t="n">
        <f aca="false">F7/F8</f>
        <v>503.129862757821</v>
      </c>
      <c r="H10" s="33" t="n">
        <f aca="false">H7/H8</f>
        <v>387.297842269397</v>
      </c>
      <c r="I10" s="33" t="n">
        <f aca="false">I7/I8</f>
        <v>420.320617716257</v>
      </c>
      <c r="J10" s="33" t="n">
        <f aca="false">J7/J8</f>
        <v>456.521425495974</v>
      </c>
      <c r="K10" s="33" t="n">
        <f aca="false">K7/K8</f>
        <v>495.999020284302</v>
      </c>
      <c r="L10" s="33" t="n">
        <f aca="false">L7/L8</f>
        <v>538.457792123492</v>
      </c>
      <c r="N10" s="33" t="n">
        <f aca="false">N7/N8</f>
        <v>387.150123704588</v>
      </c>
      <c r="O10" s="33" t="n">
        <f aca="false">O7/O8</f>
        <v>422.049088732026</v>
      </c>
      <c r="P10" s="33" t="n">
        <f aca="false">P7/P8</f>
        <v>462.392371039626</v>
      </c>
      <c r="Q10" s="33" t="n">
        <f aca="false">Q7/Q8</f>
        <v>508.050540532302</v>
      </c>
      <c r="R10" s="33" t="n">
        <f aca="false">R7/R8</f>
        <v>559.510455853348</v>
      </c>
    </row>
    <row r="11" customFormat="false" ht="15" hidden="false" customHeight="true" outlineLevel="0" collapsed="false">
      <c r="A11" s="3" t="s">
        <v>82</v>
      </c>
      <c r="B11" s="34" t="n">
        <f aca="false">B6/AVERAGE(107494.6,B7)</f>
        <v>0.117991788501513</v>
      </c>
      <c r="C11" s="34" t="n">
        <f aca="false">C6/AVERAGE(B7,C7)</f>
        <v>0.116890240040557</v>
      </c>
      <c r="D11" s="34" t="n">
        <f aca="false">D6/AVERAGE(C7,D7)</f>
        <v>0.116917735114545</v>
      </c>
      <c r="E11" s="34" t="n">
        <f aca="false">E6/AVERAGE(D7,E7)</f>
        <v>0.113374419840278</v>
      </c>
      <c r="F11" s="34" t="n">
        <f aca="false">F6/AVERAGE(E7,F7)</f>
        <v>0.110104215388028</v>
      </c>
      <c r="H11" s="34" t="n">
        <f aca="false">H6/AVERAGE(107494.6,H7)</f>
        <v>0.153261119165834</v>
      </c>
      <c r="I11" s="34" t="n">
        <f aca="false">I6/AVERAGE(H7,I7)</f>
        <v>0.157135261514683</v>
      </c>
      <c r="J11" s="34" t="n">
        <f aca="false">J6/AVERAGE(I7,J7)</f>
        <v>0.158638670276166</v>
      </c>
      <c r="K11" s="34" t="n">
        <f aca="false">K6/AVERAGE(J7,K7)</f>
        <v>0.15924532422023</v>
      </c>
      <c r="L11" s="34" t="n">
        <f aca="false">L6/AVERAGE(K7,L7)</f>
        <v>0.157724858087373</v>
      </c>
      <c r="N11" s="34" t="n">
        <f aca="false">N6/AVERAGE(107494.6,N7)</f>
        <v>0.177758389610473</v>
      </c>
      <c r="O11" s="34" t="n">
        <f aca="false">O6/AVERAGE(N7,O7)</f>
        <v>0.192933160724719</v>
      </c>
      <c r="P11" s="34" t="n">
        <f aca="false">P6/AVERAGE(O7,P7)</f>
        <v>0.203842997135859</v>
      </c>
      <c r="Q11" s="34" t="n">
        <f aca="false">Q6/AVERAGE(P7,Q7)</f>
        <v>0.210125748657428</v>
      </c>
      <c r="R11" s="34" t="n">
        <f aca="false">R6/AVERAGE(Q7,R7)</f>
        <v>0.215176910319278</v>
      </c>
    </row>
    <row r="14" customFormat="false" ht="15" hidden="false" customHeight="true" outlineLevel="0" collapsed="false">
      <c r="A14" s="3" t="s">
        <v>83</v>
      </c>
    </row>
    <row r="15" customFormat="false" ht="32.25" hidden="false" customHeight="true" outlineLevel="0" collapsed="false">
      <c r="A15" s="35" t="s">
        <v>84</v>
      </c>
      <c r="B15" s="36" t="s">
        <v>85</v>
      </c>
      <c r="C15" s="36" t="s">
        <v>86</v>
      </c>
      <c r="D15" s="36" t="s">
        <v>87</v>
      </c>
      <c r="E15" s="36" t="s">
        <v>88</v>
      </c>
    </row>
    <row r="16" customFormat="false" ht="15" hidden="false" customHeight="true" outlineLevel="0" collapsed="false">
      <c r="A16" s="37" t="s">
        <v>89</v>
      </c>
      <c r="B16" s="38" t="n">
        <f aca="false">F9</f>
        <v>53.6314096350034</v>
      </c>
      <c r="C16" s="38" t="n">
        <f aca="false">F10</f>
        <v>503.129862757821</v>
      </c>
      <c r="D16" s="39" t="n">
        <f aca="false">F11</f>
        <v>0.110104215388028</v>
      </c>
      <c r="E16" s="40" t="n">
        <f aca="false">F5</f>
        <v>60591.704034528</v>
      </c>
    </row>
    <row r="17" customFormat="false" ht="15" hidden="false" customHeight="true" outlineLevel="0" collapsed="false">
      <c r="A17" s="41" t="s">
        <v>2</v>
      </c>
      <c r="B17" s="38" t="n">
        <f aca="false">L9</f>
        <v>81.534714492007</v>
      </c>
      <c r="C17" s="38" t="n">
        <f aca="false">L10</f>
        <v>538.457792123492</v>
      </c>
      <c r="D17" s="39" t="n">
        <f aca="false">L11</f>
        <v>0.157724858087373</v>
      </c>
      <c r="E17" s="40" t="n">
        <f aca="false">L5</f>
        <v>74376.64554705</v>
      </c>
    </row>
    <row r="18" customFormat="false" ht="15" hidden="false" customHeight="true" outlineLevel="0" collapsed="false">
      <c r="A18" s="42" t="s">
        <v>90</v>
      </c>
      <c r="B18" s="38" t="n">
        <f aca="false">R9</f>
        <v>114.73912395186</v>
      </c>
      <c r="C18" s="38" t="n">
        <f aca="false">R10</f>
        <v>559.510455853348</v>
      </c>
      <c r="D18" s="39" t="n">
        <f aca="false">R11</f>
        <v>0.215176910319278</v>
      </c>
      <c r="E18" s="40" t="n">
        <f aca="false">R5</f>
        <v>86781.301822008</v>
      </c>
    </row>
    <row r="21" customFormat="false" ht="15" hidden="false" customHeight="true" outlineLevel="0" collapsed="false">
      <c r="A21" s="14" t="s">
        <v>91</v>
      </c>
      <c r="B21" s="14"/>
      <c r="C21" s="14"/>
      <c r="D21" s="14"/>
      <c r="E21" s="14"/>
      <c r="F21" s="14"/>
      <c r="G21" s="14"/>
      <c r="H21" s="14"/>
      <c r="I21" s="14"/>
      <c r="J21" s="14"/>
    </row>
    <row r="22" customFormat="false" ht="15" hidden="false" customHeight="true" outlineLevel="0" collapsed="false">
      <c r="A22" s="14" t="s">
        <v>92</v>
      </c>
      <c r="B22" s="14"/>
      <c r="C22" s="14"/>
      <c r="D22" s="14"/>
      <c r="E22" s="14"/>
      <c r="F22" s="14"/>
      <c r="G22" s="14"/>
      <c r="H22" s="14"/>
      <c r="I22" s="14"/>
      <c r="J22" s="14"/>
    </row>
    <row r="23" customFormat="false" ht="15" hidden="false" customHeight="true" outlineLevel="0" collapsed="false">
      <c r="A23" s="14" t="s">
        <v>93</v>
      </c>
      <c r="B23" s="14"/>
      <c r="C23" s="14"/>
      <c r="D23" s="14"/>
      <c r="E23" s="14"/>
      <c r="F23" s="14"/>
      <c r="G23" s="14"/>
      <c r="H23" s="14"/>
      <c r="I23" s="14"/>
      <c r="J23" s="14"/>
    </row>
    <row r="24" customFormat="false" ht="15" hidden="false" customHeight="true" outlineLevel="0" collapsed="false">
      <c r="A24" s="14" t="s">
        <v>94</v>
      </c>
      <c r="B24" s="14"/>
      <c r="C24" s="14"/>
      <c r="D24" s="14"/>
      <c r="E24" s="14"/>
      <c r="F24" s="14"/>
      <c r="G24" s="14"/>
      <c r="H24" s="14"/>
      <c r="I24" s="14"/>
      <c r="J24" s="14"/>
    </row>
    <row r="25" customFormat="false" ht="15" hidden="false" customHeight="true" outlineLevel="0" collapsed="false">
      <c r="A25" s="14" t="s">
        <v>95</v>
      </c>
      <c r="B25" s="14"/>
      <c r="C25" s="14"/>
      <c r="D25" s="14"/>
      <c r="E25" s="14"/>
      <c r="F25" s="14"/>
      <c r="G25" s="14"/>
      <c r="H25" s="14"/>
      <c r="I25" s="14"/>
      <c r="J25" s="14"/>
    </row>
  </sheetData>
  <mergeCells count="9">
    <mergeCell ref="A1:Q1"/>
    <mergeCell ref="B3:F3"/>
    <mergeCell ref="H3:L3"/>
    <mergeCell ref="N3:R3"/>
    <mergeCell ref="A21:J21"/>
    <mergeCell ref="A22:J22"/>
    <mergeCell ref="A23:J23"/>
    <mergeCell ref="A24:J24"/>
    <mergeCell ref="A25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2026-07-03T20:04:53Z</dcterms:created>
  <dc:creator>openpyxl</dc:creator>
  <dc:description/>
  <dc:language>en-US</dc:language>
  <cp:lastModifiedBy/>
  <dcterms:modified xsi:type="dcterms:W3CDTF">2026-07-03T20:08:21Z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